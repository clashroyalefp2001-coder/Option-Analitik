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Option Analitik\"/>
    </mc:Choice>
  </mc:AlternateContent>
  <xr:revisionPtr revIDLastSave="0" documentId="13_ncr:1_{3D3425D2-E4C7-4115-B645-66A71F012ED9}" xr6:coauthVersionLast="47" xr6:coauthVersionMax="47" xr10:uidLastSave="{00000000-0000-0000-0000-000000000000}"/>
  <bookViews>
    <workbookView xWindow="4215" yWindow="3855" windowWidth="21600" windowHeight="11325" activeTab="1" xr2:uid="{00000000-000D-0000-FFFF-FFFF00000000}"/>
  </bookViews>
  <sheets>
    <sheet name="Диаграмма1" sheetId="8" r:id="rId1"/>
    <sheet name="Dashbord" sheetId="1" r:id="rId2"/>
    <sheet name="Journal" sheetId="2" r:id="rId3"/>
    <sheet name="Calc_PnL" sheetId="3" r:id="rId4"/>
    <sheet name="Cycles" sheetId="4" r:id="rId5"/>
    <sheet name="Decision Map" sheetId="5" r:id="rId6"/>
    <sheet name="Guide" sheetId="6" r:id="rId7"/>
    <sheet name="VBA_Setup" sheetId="7" state="hidden" r:id="rId8"/>
  </sheets>
  <calcPr calcId="191029"/>
</workbook>
</file>

<file path=xl/calcChain.xml><?xml version="1.0" encoding="utf-8"?>
<calcChain xmlns="http://schemas.openxmlformats.org/spreadsheetml/2006/main">
  <c r="I11" i="1" l="1"/>
  <c r="N24" i="4"/>
  <c r="P24" i="4" s="1"/>
  <c r="N23" i="4"/>
  <c r="P23" i="4" s="1"/>
  <c r="N22" i="4"/>
  <c r="P22" i="4" s="1"/>
  <c r="N21" i="4"/>
  <c r="P21" i="4" s="1"/>
  <c r="N20" i="4"/>
  <c r="P20" i="4" s="1"/>
  <c r="P19" i="4"/>
  <c r="N19" i="4"/>
  <c r="O19" i="4" s="1"/>
  <c r="O18" i="4"/>
  <c r="N18" i="4"/>
  <c r="P18" i="4" s="1"/>
  <c r="N17" i="4"/>
  <c r="P17" i="4" s="1"/>
  <c r="N16" i="4"/>
  <c r="P16" i="4" s="1"/>
  <c r="P15" i="4"/>
  <c r="N15" i="4"/>
  <c r="O15" i="4" s="1"/>
  <c r="N14" i="4"/>
  <c r="P14" i="4" s="1"/>
  <c r="N13" i="4"/>
  <c r="P13" i="4" s="1"/>
  <c r="N12" i="4"/>
  <c r="P12" i="4" s="1"/>
  <c r="N11" i="4"/>
  <c r="P11" i="4" s="1"/>
  <c r="P10" i="4"/>
  <c r="N10" i="4"/>
  <c r="N9" i="4"/>
  <c r="N8" i="4"/>
  <c r="P8" i="4" s="1"/>
  <c r="P7" i="4"/>
  <c r="N7" i="4"/>
  <c r="N6" i="4"/>
  <c r="P6" i="4" s="1"/>
  <c r="N5" i="4"/>
  <c r="P5" i="4" s="1"/>
  <c r="N4" i="4"/>
  <c r="B34" i="4" s="1"/>
  <c r="J13" i="3"/>
  <c r="H13" i="3"/>
  <c r="J12" i="3"/>
  <c r="H12" i="3"/>
  <c r="H11" i="3"/>
  <c r="H10" i="3"/>
  <c r="B10" i="3"/>
  <c r="I63" i="2"/>
  <c r="H63" i="2"/>
  <c r="G63" i="2"/>
  <c r="K63" i="2" s="1"/>
  <c r="I62" i="2"/>
  <c r="H62" i="2"/>
  <c r="G62" i="2"/>
  <c r="K62" i="2" s="1"/>
  <c r="I61" i="2"/>
  <c r="H61" i="2"/>
  <c r="G61" i="2"/>
  <c r="K61" i="2" s="1"/>
  <c r="I60" i="2"/>
  <c r="H60" i="2"/>
  <c r="G60" i="2"/>
  <c r="K60" i="2" s="1"/>
  <c r="I59" i="2"/>
  <c r="H59" i="2"/>
  <c r="G59" i="2"/>
  <c r="K59" i="2" s="1"/>
  <c r="I58" i="2"/>
  <c r="H58" i="2"/>
  <c r="G58" i="2"/>
  <c r="K58" i="2" s="1"/>
  <c r="I57" i="2"/>
  <c r="H57" i="2"/>
  <c r="G57" i="2"/>
  <c r="K57" i="2" s="1"/>
  <c r="N56" i="2"/>
  <c r="M56" i="2"/>
  <c r="K56" i="2"/>
  <c r="L56" i="2" s="1"/>
  <c r="I56" i="2"/>
  <c r="H56" i="2"/>
  <c r="G56" i="2"/>
  <c r="I55" i="2"/>
  <c r="H55" i="2"/>
  <c r="G55" i="2"/>
  <c r="K55" i="2" s="1"/>
  <c r="K54" i="2"/>
  <c r="N54" i="2" s="1"/>
  <c r="I54" i="2"/>
  <c r="H54" i="2"/>
  <c r="G54" i="2"/>
  <c r="I53" i="2"/>
  <c r="H53" i="2"/>
  <c r="G53" i="2"/>
  <c r="K53" i="2" s="1"/>
  <c r="N53" i="2" s="1"/>
  <c r="I52" i="2"/>
  <c r="H52" i="2"/>
  <c r="G52" i="2"/>
  <c r="K52" i="2" s="1"/>
  <c r="I51" i="2"/>
  <c r="H51" i="2"/>
  <c r="G51" i="2"/>
  <c r="K51" i="2" s="1"/>
  <c r="I50" i="2"/>
  <c r="H50" i="2"/>
  <c r="G50" i="2"/>
  <c r="K50" i="2" s="1"/>
  <c r="I49" i="2"/>
  <c r="H49" i="2"/>
  <c r="G49" i="2"/>
  <c r="K49" i="2" s="1"/>
  <c r="I48" i="2"/>
  <c r="H48" i="2"/>
  <c r="G48" i="2"/>
  <c r="K48" i="2" s="1"/>
  <c r="I47" i="2"/>
  <c r="H47" i="2"/>
  <c r="G47" i="2"/>
  <c r="K47" i="2" s="1"/>
  <c r="I46" i="2"/>
  <c r="H46" i="2"/>
  <c r="G46" i="2"/>
  <c r="K46" i="2" s="1"/>
  <c r="N46" i="2" s="1"/>
  <c r="K45" i="2"/>
  <c r="N45" i="2" s="1"/>
  <c r="I45" i="2"/>
  <c r="H45" i="2"/>
  <c r="G45" i="2"/>
  <c r="I44" i="2"/>
  <c r="H44" i="2"/>
  <c r="G44" i="2"/>
  <c r="K44" i="2" s="1"/>
  <c r="I43" i="2"/>
  <c r="H43" i="2"/>
  <c r="G43" i="2"/>
  <c r="K43" i="2" s="1"/>
  <c r="I42" i="2"/>
  <c r="H42" i="2"/>
  <c r="G42" i="2"/>
  <c r="K42" i="2" s="1"/>
  <c r="I41" i="2"/>
  <c r="H41" i="2"/>
  <c r="G41" i="2"/>
  <c r="K41" i="2" s="1"/>
  <c r="N40" i="2"/>
  <c r="M40" i="2"/>
  <c r="K40" i="2"/>
  <c r="L40" i="2" s="1"/>
  <c r="I40" i="2"/>
  <c r="H40" i="2"/>
  <c r="G40" i="2"/>
  <c r="I39" i="2"/>
  <c r="H39" i="2"/>
  <c r="G39" i="2"/>
  <c r="K39" i="2" s="1"/>
  <c r="K38" i="2"/>
  <c r="L38" i="2" s="1"/>
  <c r="I38" i="2"/>
  <c r="H38" i="2"/>
  <c r="G38" i="2"/>
  <c r="I37" i="2"/>
  <c r="H37" i="2"/>
  <c r="G37" i="2"/>
  <c r="K37" i="2" s="1"/>
  <c r="N37" i="2" s="1"/>
  <c r="I36" i="2"/>
  <c r="H36" i="2"/>
  <c r="G36" i="2"/>
  <c r="K36" i="2" s="1"/>
  <c r="I35" i="2"/>
  <c r="H35" i="2"/>
  <c r="G35" i="2"/>
  <c r="K35" i="2" s="1"/>
  <c r="I34" i="2"/>
  <c r="H34" i="2"/>
  <c r="G34" i="2"/>
  <c r="K34" i="2" s="1"/>
  <c r="I33" i="2"/>
  <c r="H33" i="2"/>
  <c r="G33" i="2"/>
  <c r="K33" i="2" s="1"/>
  <c r="K32" i="2"/>
  <c r="L32" i="2" s="1"/>
  <c r="I32" i="2"/>
  <c r="H32" i="2"/>
  <c r="G32" i="2"/>
  <c r="I31" i="2"/>
  <c r="H31" i="2"/>
  <c r="G31" i="2"/>
  <c r="K31" i="2" s="1"/>
  <c r="I30" i="2"/>
  <c r="H30" i="2"/>
  <c r="G30" i="2"/>
  <c r="K30" i="2" s="1"/>
  <c r="N30" i="2" s="1"/>
  <c r="K29" i="2"/>
  <c r="N29" i="2" s="1"/>
  <c r="I29" i="2"/>
  <c r="H29" i="2"/>
  <c r="G29" i="2"/>
  <c r="I28" i="2"/>
  <c r="H28" i="2"/>
  <c r="G28" i="2"/>
  <c r="K28" i="2" s="1"/>
  <c r="I27" i="2"/>
  <c r="H27" i="2"/>
  <c r="G27" i="2"/>
  <c r="K27" i="2" s="1"/>
  <c r="I26" i="2"/>
  <c r="H26" i="2"/>
  <c r="G26" i="2"/>
  <c r="K26" i="2" s="1"/>
  <c r="N25" i="2"/>
  <c r="M25" i="2"/>
  <c r="L25" i="2"/>
  <c r="K25" i="2"/>
  <c r="I25" i="2"/>
  <c r="H25" i="2"/>
  <c r="G25" i="2"/>
  <c r="N24" i="2"/>
  <c r="M24" i="2"/>
  <c r="K24" i="2"/>
  <c r="L24" i="2" s="1"/>
  <c r="I24" i="2"/>
  <c r="H24" i="2"/>
  <c r="G24" i="2"/>
  <c r="I23" i="2"/>
  <c r="H23" i="2"/>
  <c r="G23" i="2"/>
  <c r="K23" i="2" s="1"/>
  <c r="K22" i="2"/>
  <c r="L22" i="2" s="1"/>
  <c r="I22" i="2"/>
  <c r="H22" i="2"/>
  <c r="G22" i="2"/>
  <c r="I21" i="2"/>
  <c r="H21" i="2"/>
  <c r="G21" i="2"/>
  <c r="K21" i="2" s="1"/>
  <c r="N21" i="2" s="1"/>
  <c r="I20" i="2"/>
  <c r="H20" i="2"/>
  <c r="G20" i="2"/>
  <c r="K20" i="2" s="1"/>
  <c r="I19" i="2"/>
  <c r="H19" i="2"/>
  <c r="G19" i="2"/>
  <c r="K19" i="2" s="1"/>
  <c r="I18" i="2"/>
  <c r="H18" i="2"/>
  <c r="G18" i="2"/>
  <c r="K18" i="2" s="1"/>
  <c r="I17" i="2"/>
  <c r="H17" i="2"/>
  <c r="G17" i="2"/>
  <c r="K17" i="2" s="1"/>
  <c r="K16" i="2"/>
  <c r="L16" i="2" s="1"/>
  <c r="I16" i="2"/>
  <c r="H16" i="2"/>
  <c r="G16" i="2"/>
  <c r="K15" i="2"/>
  <c r="N15" i="2" s="1"/>
  <c r="I15" i="2"/>
  <c r="H15" i="2"/>
  <c r="G15" i="2"/>
  <c r="I14" i="2"/>
  <c r="H14" i="2"/>
  <c r="G14" i="2"/>
  <c r="K14" i="2" s="1"/>
  <c r="N14" i="2" s="1"/>
  <c r="K13" i="2"/>
  <c r="N13" i="2" s="1"/>
  <c r="I13" i="2"/>
  <c r="H13" i="2"/>
  <c r="G13" i="2"/>
  <c r="I12" i="2"/>
  <c r="H12" i="2"/>
  <c r="G12" i="2"/>
  <c r="K12" i="2" s="1"/>
  <c r="I11" i="2"/>
  <c r="H11" i="2"/>
  <c r="G11" i="2"/>
  <c r="K11" i="2" s="1"/>
  <c r="I10" i="2"/>
  <c r="H10" i="2"/>
  <c r="G10" i="2"/>
  <c r="K10" i="2" s="1"/>
  <c r="I9" i="2"/>
  <c r="H9" i="2"/>
  <c r="G9" i="2"/>
  <c r="K9" i="2" s="1"/>
  <c r="I8" i="2"/>
  <c r="H8" i="2"/>
  <c r="G8" i="2"/>
  <c r="K8" i="2" s="1"/>
  <c r="M7" i="2"/>
  <c r="L7" i="2"/>
  <c r="K7" i="2"/>
  <c r="N7" i="2" s="1"/>
  <c r="I7" i="2"/>
  <c r="H7" i="2"/>
  <c r="G7" i="2"/>
  <c r="I6" i="2"/>
  <c r="H6" i="2"/>
  <c r="G6" i="2"/>
  <c r="K6" i="2" s="1"/>
  <c r="N6" i="2" s="1"/>
  <c r="K5" i="2"/>
  <c r="N5" i="2" s="1"/>
  <c r="I5" i="2"/>
  <c r="H5" i="2"/>
  <c r="G5" i="2"/>
  <c r="I4" i="2"/>
  <c r="H4" i="2"/>
  <c r="G4" i="2"/>
  <c r="K4" i="2" s="1"/>
  <c r="M22" i="1"/>
  <c r="M21" i="1"/>
  <c r="J10" i="3" s="1"/>
  <c r="M20" i="1"/>
  <c r="M19" i="1"/>
  <c r="E16" i="1"/>
  <c r="E8" i="1" s="1"/>
  <c r="E15" i="1"/>
  <c r="H9" i="1" s="1"/>
  <c r="B15" i="1"/>
  <c r="E11" i="1"/>
  <c r="E19" i="1" l="1"/>
  <c r="L8" i="2"/>
  <c r="N8" i="2"/>
  <c r="M8" i="2"/>
  <c r="L48" i="2"/>
  <c r="N48" i="2"/>
  <c r="M48" i="2"/>
  <c r="M9" i="2"/>
  <c r="N9" i="2"/>
  <c r="L9" i="2"/>
  <c r="L17" i="2"/>
  <c r="M17" i="2"/>
  <c r="N17" i="2"/>
  <c r="M16" i="2"/>
  <c r="M32" i="2"/>
  <c r="H14" i="3"/>
  <c r="M15" i="2"/>
  <c r="N32" i="2"/>
  <c r="O21" i="4"/>
  <c r="N16" i="2"/>
  <c r="O22" i="4"/>
  <c r="L15" i="2"/>
  <c r="B27" i="4"/>
  <c r="E17" i="1"/>
  <c r="E10" i="1" s="1"/>
  <c r="E9" i="1"/>
  <c r="E12" i="1" s="1"/>
  <c r="H6" i="1" s="1"/>
  <c r="M18" i="2"/>
  <c r="L18" i="2"/>
  <c r="N18" i="2"/>
  <c r="N20" i="2"/>
  <c r="M20" i="2"/>
  <c r="L20" i="2"/>
  <c r="M34" i="2"/>
  <c r="L34" i="2"/>
  <c r="N34" i="2"/>
  <c r="N43" i="2"/>
  <c r="M43" i="2"/>
  <c r="L43" i="2"/>
  <c r="N52" i="2"/>
  <c r="M52" i="2"/>
  <c r="L52" i="2"/>
  <c r="N61" i="2"/>
  <c r="M61" i="2"/>
  <c r="L61" i="2"/>
  <c r="N4" i="2"/>
  <c r="M4" i="2"/>
  <c r="L4" i="2"/>
  <c r="N11" i="2"/>
  <c r="M11" i="2"/>
  <c r="L11" i="2"/>
  <c r="N28" i="2"/>
  <c r="M28" i="2"/>
  <c r="L28" i="2"/>
  <c r="N39" i="2"/>
  <c r="M39" i="2"/>
  <c r="L39" i="2"/>
  <c r="M23" i="2"/>
  <c r="L23" i="2"/>
  <c r="N23" i="2"/>
  <c r="M26" i="2"/>
  <c r="L26" i="2"/>
  <c r="N26" i="2"/>
  <c r="N35" i="2"/>
  <c r="M35" i="2"/>
  <c r="L35" i="2"/>
  <c r="N44" i="2"/>
  <c r="M44" i="2"/>
  <c r="L44" i="2"/>
  <c r="N55" i="2"/>
  <c r="M55" i="2"/>
  <c r="L55" i="2"/>
  <c r="N62" i="2"/>
  <c r="M62" i="2"/>
  <c r="L62" i="2"/>
  <c r="N12" i="2"/>
  <c r="M12" i="2"/>
  <c r="L12" i="2"/>
  <c r="M31" i="2"/>
  <c r="N31" i="2"/>
  <c r="L31" i="2"/>
  <c r="L57" i="2"/>
  <c r="N57" i="2"/>
  <c r="M57" i="2"/>
  <c r="L41" i="2"/>
  <c r="N41" i="2"/>
  <c r="M41" i="2"/>
  <c r="N59" i="2"/>
  <c r="M59" i="2"/>
  <c r="L59" i="2"/>
  <c r="N19" i="2"/>
  <c r="M19" i="2"/>
  <c r="L19" i="2"/>
  <c r="L33" i="2"/>
  <c r="N33" i="2"/>
  <c r="M33" i="2"/>
  <c r="M42" i="2"/>
  <c r="L42" i="2"/>
  <c r="N42" i="2"/>
  <c r="N51" i="2"/>
  <c r="M51" i="2"/>
  <c r="L51" i="2"/>
  <c r="N60" i="2"/>
  <c r="M60" i="2"/>
  <c r="L60" i="2"/>
  <c r="M50" i="2"/>
  <c r="L50" i="2"/>
  <c r="N50" i="2"/>
  <c r="M10" i="2"/>
  <c r="L10" i="2"/>
  <c r="N10" i="2"/>
  <c r="N27" i="2"/>
  <c r="M27" i="2"/>
  <c r="L27" i="2"/>
  <c r="N36" i="2"/>
  <c r="M36" i="2"/>
  <c r="L36" i="2"/>
  <c r="N47" i="2"/>
  <c r="M47" i="2"/>
  <c r="L47" i="2"/>
  <c r="N63" i="2"/>
  <c r="M63" i="2"/>
  <c r="L63" i="2"/>
  <c r="L49" i="2"/>
  <c r="N49" i="2"/>
  <c r="M49" i="2"/>
  <c r="M58" i="2"/>
  <c r="L58" i="2"/>
  <c r="N58" i="2"/>
  <c r="B30" i="4"/>
  <c r="B28" i="4"/>
  <c r="O17" i="4"/>
  <c r="O4" i="4"/>
  <c r="P9" i="4"/>
  <c r="O20" i="4"/>
  <c r="B29" i="4"/>
  <c r="P4" i="4"/>
  <c r="O23" i="4"/>
  <c r="L6" i="2"/>
  <c r="L30" i="2"/>
  <c r="L46" i="2"/>
  <c r="L54" i="2"/>
  <c r="L5" i="2"/>
  <c r="M6" i="2"/>
  <c r="L13" i="2"/>
  <c r="M14" i="2"/>
  <c r="L21" i="2"/>
  <c r="M22" i="2"/>
  <c r="L29" i="2"/>
  <c r="M30" i="2"/>
  <c r="L37" i="2"/>
  <c r="M38" i="2"/>
  <c r="L45" i="2"/>
  <c r="M46" i="2"/>
  <c r="L53" i="2"/>
  <c r="M54" i="2"/>
  <c r="L14" i="2"/>
  <c r="E7" i="1"/>
  <c r="M5" i="2"/>
  <c r="M13" i="2"/>
  <c r="M21" i="2"/>
  <c r="N22" i="2"/>
  <c r="M29" i="2"/>
  <c r="M37" i="2"/>
  <c r="N38" i="2"/>
  <c r="M45" i="2"/>
  <c r="M53" i="2"/>
  <c r="B32" i="4"/>
  <c r="O16" i="4"/>
  <c r="O24" i="4"/>
  <c r="B33" i="4"/>
  <c r="H7" i="1" l="1"/>
  <c r="I16" i="1"/>
  <c r="B31" i="5" s="1"/>
  <c r="O5" i="4"/>
  <c r="O6" i="4" s="1"/>
  <c r="O7" i="4" s="1"/>
  <c r="O8" i="4" s="1"/>
  <c r="O9" i="4" s="1"/>
  <c r="O10" i="4" s="1"/>
  <c r="O11" i="4" s="1"/>
  <c r="O12" i="4" s="1"/>
  <c r="O13" i="4" s="1"/>
  <c r="O14" i="4" s="1"/>
  <c r="E14" i="1"/>
  <c r="B4" i="3"/>
  <c r="H15" i="3" s="1"/>
  <c r="H16" i="3" s="1"/>
  <c r="E13" i="1"/>
  <c r="B31" i="4" l="1"/>
</calcChain>
</file>

<file path=xl/sharedStrings.xml><?xml version="1.0" encoding="utf-8"?>
<sst xmlns="http://schemas.openxmlformats.org/spreadsheetml/2006/main" count="307" uniqueCount="226">
  <si>
    <t>ГИБРИДНЫЙ КОНДОР v2 — ТОРГОВЫЙ ДАШБОРД</t>
  </si>
  <si>
    <t>SBER | BUY PUT(Ц-10) / SELL PUT(Ц) / BUY CALL(Ц+5) / SELL CALL(Ц+15) + Акции 1000 шт</t>
  </si>
  <si>
    <t>Зелёный = вводить вручную | Синий = авто-формула | Обновлять ежедневно</t>
  </si>
  <si>
    <t>ТЕКУЩАЯ ПОЗИЦИЯ</t>
  </si>
  <si>
    <t>РЫНОЧНЫЕ ДАННЫЕ (вводить каждый день)</t>
  </si>
  <si>
    <t>СИГНАЛ ПРИНЯТИЯ РЕШЕНИЯ</t>
  </si>
  <si>
    <t>Дата входа:</t>
  </si>
  <si>
    <t>Дата:</t>
  </si>
  <si>
    <t>РЕЖИМ:</t>
  </si>
  <si>
    <t>Цена входа S0:</t>
  </si>
  <si>
    <t>Close:</t>
  </si>
  <si>
    <t>ДЕЙСТВИЕ:</t>
  </si>
  <si>
    <t>Центр. страйк (Ц):</t>
  </si>
  <si>
    <t>High:</t>
  </si>
  <si>
    <t>BUY PUT страйк:</t>
  </si>
  <si>
    <t>Low:</t>
  </si>
  <si>
    <t>Фаза 2 активна?</t>
  </si>
  <si>
    <t>SELL PUT страйк:</t>
  </si>
  <si>
    <t>Вч.Close:</t>
  </si>
  <si>
    <t>BUY CALL страйк:</t>
  </si>
  <si>
    <t>IV%:</t>
  </si>
  <si>
    <t>ЖЁСТКИЕ ЗАПРЕТЫ</t>
  </si>
  <si>
    <t>SELL CALL страйк:</t>
  </si>
  <si>
    <t>R = H-L</t>
  </si>
  <si>
    <t>R&gt;12руб→не торговать | После -10руб→нет SELL PUT 2дня | После +10руб→нет Roll 2дня</t>
  </si>
  <si>
    <t>Акции LONG, шт:</t>
  </si>
  <si>
    <t>Momentum</t>
  </si>
  <si>
    <t>Перед/после новостей ЦБ или дивидендов → не активировать Фазу 2</t>
  </si>
  <si>
    <t>Дата экспирации:</t>
  </si>
  <si>
    <t>Δ от центра</t>
  </si>
  <si>
    <t>Roll: нет если до экспир.&lt;7 дней или SELL CALL вырос&gt;150% цены входа</t>
  </si>
  <si>
    <t>Дней до экспир.</t>
  </si>
  <si>
    <t>День цикла №</t>
  </si>
  <si>
    <t>ОБНОВИТЬ: Data -&gt; Refresh All (или Ctrl+Alt+F5)</t>
  </si>
  <si>
    <t>Торг. дата</t>
  </si>
  <si>
    <t>СТАДИЯ СТРАТЕГИИ</t>
  </si>
  <si>
    <t>Пред. торг. дата</t>
  </si>
  <si>
    <t>IV ATM, % (вручную)</t>
  </si>
  <si>
    <t>НАЧАЛЬНЫЕ ЦЕНЫ ОПЦИОНОВ</t>
  </si>
  <si>
    <t>ТЕКУЩИЕ ЦЕНЫ ОПЦИОНОВ</t>
  </si>
  <si>
    <t>СОСЕДНИЕ СТРАЙКИ</t>
  </si>
  <si>
    <t>MOEX URL (Close/High/Low)</t>
  </si>
  <si>
    <t>PUT ниже</t>
  </si>
  <si>
    <t>SELL PUT вход</t>
  </si>
  <si>
    <t>SELL PUT тек.</t>
  </si>
  <si>
    <t>PUT ATM</t>
  </si>
  <si>
    <t>BUY CALL вход</t>
  </si>
  <si>
    <t>BUY CALL тек.</t>
  </si>
  <si>
    <t>CALL ATM</t>
  </si>
  <si>
    <t>SELL CALL вход</t>
  </si>
  <si>
    <t>SELL CALL тек.</t>
  </si>
  <si>
    <t>CALL выше</t>
  </si>
  <si>
    <t>Введи вручную текущие цены соседних страйков</t>
  </si>
  <si>
    <t>В Windows Excel: нажми кнопку/макрос Refresh Quotes</t>
  </si>
  <si>
    <t>Если Excel спросит: Разрешить содержимое / Включить макросы</t>
  </si>
  <si>
    <t>ЕЖЕДНЕВНЫЙ ЖУРНАЛ НАБЛЮДЕНИЙ</t>
  </si>
  <si>
    <t>Вводи Close/High/Low/PrevClose каждый день — остальное считается автоматически</t>
  </si>
  <si>
    <t>№</t>
  </si>
  <si>
    <t>Дата</t>
  </si>
  <si>
    <t>Close</t>
  </si>
  <si>
    <t>High</t>
  </si>
  <si>
    <t>Low</t>
  </si>
  <si>
    <t>Prev Close</t>
  </si>
  <si>
    <t>R (H-L)</t>
  </si>
  <si>
    <t>Moment</t>
  </si>
  <si>
    <t>Дельта</t>
  </si>
  <si>
    <t>IV%</t>
  </si>
  <si>
    <t>РЕЖИМ</t>
  </si>
  <si>
    <t>CALL?</t>
  </si>
  <si>
    <t>PUT?</t>
  </si>
  <si>
    <t>ФАЗА2?</t>
  </si>
  <si>
    <t>ЗАМЕТКИ</t>
  </si>
  <si>
    <t>КАЛЬКУЛЯТОР СТРАТЕГИИ + P&amp;L ПРОФИЛЬ</t>
  </si>
  <si>
    <t>ПАРАМЕТРЫ ПОЗИЦИИ</t>
  </si>
  <si>
    <t>РАСЧЁТ СТОИМОСТИ НОГ (Black-Scholes)</t>
  </si>
  <si>
    <t>ТЕОР. ЦЕНА</t>
  </si>
  <si>
    <t>РУЧНЫЕ РЫНОЧНЫЕ ЦЕНЫ</t>
  </si>
  <si>
    <t>Цена актива S:</t>
  </si>
  <si>
    <t>BUY PUT вход</t>
  </si>
  <si>
    <t>BUY PUT тек.</t>
  </si>
  <si>
    <t>Центральный страйк:</t>
  </si>
  <si>
    <t>BUY PUT страйк (Ц-10):</t>
  </si>
  <si>
    <t>SELL PUT страйк (Ц):</t>
  </si>
  <si>
    <t>BUY CALL страйк (Ц+5):</t>
  </si>
  <si>
    <t>SELL CALL страйк (Ц+15):</t>
  </si>
  <si>
    <t>MTM P&amp;L ног, руб</t>
  </si>
  <si>
    <t>Прогноз Roll</t>
  </si>
  <si>
    <t>Волатильность σ (HV21):</t>
  </si>
  <si>
    <t>BUY PUT</t>
  </si>
  <si>
    <t>Новый CALL strike</t>
  </si>
  <si>
    <t>Дней до экспирации T:</t>
  </si>
  <si>
    <t>SELL PUT</t>
  </si>
  <si>
    <t>Цена продажи</t>
  </si>
  <si>
    <t>BUY CALL</t>
  </si>
  <si>
    <t>Цена выкупа старого</t>
  </si>
  <si>
    <t>Лот опциона:</t>
  </si>
  <si>
    <t>SELL CALL</t>
  </si>
  <si>
    <t>Добавка P&amp;L</t>
  </si>
  <si>
    <t>Опционы итого</t>
  </si>
  <si>
    <t>Акции MTM</t>
  </si>
  <si>
    <t>Итог MTM</t>
  </si>
  <si>
    <t>ЖУРНАЛ ТОРГОВЫХ ЦИКЛОВ (история + статистика)</t>
  </si>
  <si>
    <t>Заполнять после закрытия каждого цикла | Кум. P&amp;L и статистика — автоматически</t>
  </si>
  <si>
    <t>Дата
входа</t>
  </si>
  <si>
    <t>S0</t>
  </si>
  <si>
    <t>Центр</t>
  </si>
  <si>
    <t>Страйки
BP/SP/BC/SC</t>
  </si>
  <si>
    <t>HV21</t>
  </si>
  <si>
    <t>IV вх.</t>
  </si>
  <si>
    <t>Флэт
дней</t>
  </si>
  <si>
    <t>Фаза2?</t>
  </si>
  <si>
    <t>Roll?</t>
  </si>
  <si>
    <t>P&amp;L
Кондор</t>
  </si>
  <si>
    <t>P&amp;L
Фаза2</t>
  </si>
  <si>
    <t>P&amp;L
Roll</t>
  </si>
  <si>
    <t>P&amp;L
ИТОГО</t>
  </si>
  <si>
    <t>Кум.
P&amp;L</t>
  </si>
  <si>
    <t>Результат</t>
  </si>
  <si>
    <t>Заметки</t>
  </si>
  <si>
    <t>03.04.25</t>
  </si>
  <si>
    <t>310/320/325/335</t>
  </si>
  <si>
    <t>Да</t>
  </si>
  <si>
    <t>03.06.25</t>
  </si>
  <si>
    <t>300/310/315/325</t>
  </si>
  <si>
    <t>01.07.25</t>
  </si>
  <si>
    <t>22.07.25</t>
  </si>
  <si>
    <t>12.08.25</t>
  </si>
  <si>
    <t>295/305/310/320</t>
  </si>
  <si>
    <t>02.09.25</t>
  </si>
  <si>
    <t>07.10.25</t>
  </si>
  <si>
    <t>275/285/290/300</t>
  </si>
  <si>
    <t>11.11.25</t>
  </si>
  <si>
    <t>280/290/295/305</t>
  </si>
  <si>
    <t>02.12.25</t>
  </si>
  <si>
    <t>290/300/305/315</t>
  </si>
  <si>
    <t>13.01.26</t>
  </si>
  <si>
    <t>17.02.26</t>
  </si>
  <si>
    <t>305/315/320/330</t>
  </si>
  <si>
    <t>СТАТИСТИКА</t>
  </si>
  <si>
    <t>Всего циклов:</t>
  </si>
  <si>
    <t>Win rate:</t>
  </si>
  <si>
    <t>Суммарный P&amp;L:</t>
  </si>
  <si>
    <t>Средний P&amp;L/цикл:</t>
  </si>
  <si>
    <t>Max Drawdown:</t>
  </si>
  <si>
    <t>Лучший цикл:</t>
  </si>
  <si>
    <t>Худший цикл:</t>
  </si>
  <si>
    <t>Profit Factor:</t>
  </si>
  <si>
    <t>КАРТА ПРИНЯТИЯ РЕШЕНИЙ — ГИБРИДНЫЙ КОНДОР v2</t>
  </si>
  <si>
    <t>Зелёный = ДА | Красный = НЕТ | Жёлтый = с условием</t>
  </si>
  <si>
    <t>ДЕЙСТВИЕ</t>
  </si>
  <si>
    <t>ФЛЭТ (R&lt;6,Mom&lt;3)</t>
  </si>
  <si>
    <t>БОКОВИК (R 6-10)</t>
  </si>
  <si>
    <t>ТРЕНД ВВЕРХ (Mom&gt;6)</t>
  </si>
  <si>
    <t>ТРЕНД ВНИЗ (Mom&lt;-6)</t>
  </si>
  <si>
    <t>ПОСЛЕ ШОКА</t>
  </si>
  <si>
    <t>ДО ЭКСПИР.&lt;2д</t>
  </si>
  <si>
    <t>ПРИНЦИП</t>
  </si>
  <si>
    <t>ВХОД В КОНДОР</t>
  </si>
  <si>
    <t>YES</t>
  </si>
  <si>
    <t>50%</t>
  </si>
  <si>
    <t>NO</t>
  </si>
  <si>
    <t>R&lt;6, Mom&lt;3</t>
  </si>
  <si>
    <t>ДЕРЖАТЬ ПОЗИЦИЮ</t>
  </si>
  <si>
    <t>WAIT</t>
  </si>
  <si>
    <t>Следи страйки</t>
  </si>
  <si>
    <t>ПРОДАТЬ BUY CALL</t>
  </si>
  <si>
    <t>YES 100%</t>
  </si>
  <si>
    <t>Флэт д10+</t>
  </si>
  <si>
    <t>ROLL: откупить SELL CALL</t>
  </si>
  <si>
    <t>CAREFUL</t>
  </si>
  <si>
    <t>Покрыт акциями</t>
  </si>
  <si>
    <t>ROLL: продать ATM CALL</t>
  </si>
  <si>
    <t>Акции = покрытие</t>
  </si>
  <si>
    <t>ПРОДАТЬ 50% BUY PUT</t>
  </si>
  <si>
    <t>Не при тренде вниз</t>
  </si>
  <si>
    <t>ЗАКРЫТЬ SELL PUT</t>
  </si>
  <si>
    <t>При угрозе страйка</t>
  </si>
  <si>
    <t>ПРОДАТЬ АКЦИИ</t>
  </si>
  <si>
    <t>Только нарушение страйка</t>
  </si>
  <si>
    <t>ЗАКРЫТЬ ВСЁ</t>
  </si>
  <si>
    <t>DECIDE</t>
  </si>
  <si>
    <t>P&amp;L&gt;70% или -2дня</t>
  </si>
  <si>
    <t xml:space="preserve">  ❌  R &gt; 12 руб → не торговать в этот день</t>
  </si>
  <si>
    <t xml:space="preserve">  ❌  После падения &gt; 10 руб → запрет SELL PUT следующие 2 дня</t>
  </si>
  <si>
    <t xml:space="preserve">  ❌  После роста &gt; 10 руб → запрет Roll ATM Call следующие 2 дня</t>
  </si>
  <si>
    <t xml:space="preserve">  ❌  До/после новостей ЦБ или дивидендов → не активировать Фазу 2</t>
  </si>
  <si>
    <t xml:space="preserve">  ❌  Roll: нет если до экспирации &lt; 7 дней</t>
  </si>
  <si>
    <t xml:space="preserve">  ❌  Roll: нет если SELL CALL вырос &gt; 150% цены входа</t>
  </si>
  <si>
    <t xml:space="preserve">  ❌  Никогда не продавать PUT при Momentum &lt; -3 руб</t>
  </si>
  <si>
    <t xml:space="preserve">  ❌  Никогда не продавать ATM Call без покрытия акциями</t>
  </si>
  <si>
    <t>ПРАВИЛА ВЫХОДА</t>
  </si>
  <si>
    <t xml:space="preserve">  ✅  Прибыль &gt;= 70% от макс. → немедленно закрыть все ноги</t>
  </si>
  <si>
    <t xml:space="preserve">  ✅  За 2 торговых дня до экспирации → принудительный выход</t>
  </si>
  <si>
    <t xml:space="preserve">  ✅  Цена пробила страйк на &gt; 2 руб → закрыть эту ногу</t>
  </si>
  <si>
    <t xml:space="preserve">  ✅  Просадка P&amp;L &gt; 50% макс. убытка → пересмотр позиции</t>
  </si>
  <si>
    <t>ТЕКУЩАЯ СТАДИЯ</t>
  </si>
  <si>
    <t>ИНСТРУКЦИЯ ПО ИСПОЛЬЗОВАНИЮ</t>
  </si>
  <si>
    <t>🟢 ЧТО ВВОДИТЬ</t>
  </si>
  <si>
    <t>Ячейки с тёмно-ЗЕЛЁНЫМ фоном — вводить вручную. Остальное считается автоматически.
Ячейки с синим/тёмным фоном — формулы, не трогать.</t>
  </si>
  <si>
    <t>📊 ДАШБОРД</t>
  </si>
  <si>
    <t>Блок ТЕКУЩАЯ ПОЗИЦИЯ: заполни один раз при открытии — дату, цену S0, страйки, кол-во акций, дату экспирации.
Блок РЫНОЧНЫЕ ДАННЫЕ: КАЖДЫЙ день вводи Close/High/Low/PrevClose/IV.
Блок СИГНАЛ: автоматически покажет режим рынка и рекомендованные действия.
Блок ФАЗА 2: подскажет, когда пора активировать Фазу 2.</t>
  </si>
  <si>
    <t>📅 ЖУРНАЛ ДНЯ</t>
  </si>
  <si>
    <t>Добавляй новую строку каждый торговый день.
Ввод: Дата, Close, High, Low, PrevClose, IV%.
Авто: R, Momentum, Δ от центра, Режим (FLAT/TREND/WAIT), сигналы CALL/PUT, Фаза2.
Колонка ФАЗА2: считает флэт-дни за последние 10 сессий. Когда &gt;=8 → 'ACTIVATE'.</t>
  </si>
  <si>
    <t>🧮 КАЛЬКУЛЯТОР (лист Calc_PnL)</t>
  </si>
  <si>
    <t>Введи S, страйки, σ (IV), дни до экспирации, размер лота.
Авто-расчёт: цена каждой ноги по BS-формуле через NORM.S.DIST.
Нетто дебет/кредит: итоговая стоимость входа.
Таблица P&amp;L: 50 точек, цветная шкала, встроенный график.</t>
  </si>
  <si>
    <t>📋 ЖУРНАЛ ЦИКЛОВ (лист Cycles)</t>
  </si>
  <si>
    <t>После закрытия каждого 21-дневного цикла заполни строку.
Ввод: дата входа, S0, центр, страйки, HV21, IV, кол-во флэт-дней, признаки Фазы2 и Roll, P&amp;L компонентов.
Авто: итоговый P&amp;L, кумулятивный P&amp;L, цветная метка PROFIT/LOSS, статистика, кумулятивный график.</t>
  </si>
  <si>
    <t>🗺️ КАРТА РЕШЕНИЙ (лист Decision Map)</t>
  </si>
  <si>
    <t>Таблица: режим рынка x действие → ДА/НЕТ/с условием.
Запреты — список ситуаций, когда НЕ торговать ни при каких условиях.
Правила выхода — 4 триггера принудительного выхода.</t>
  </si>
  <si>
    <t>🔄 ЕЖЕДНЕВНЫЙ АЛГОРИТМ</t>
  </si>
  <si>
    <t>1. Открыть лист Journal → заполнить новую строку (Close/High/Low/PrevClose/IV)
2. Проверить колонку РЕЖИМ → цвет подскажет состояние рынка
3. Проверить колонку ФАЗА2 → если 'ACTIVATE' → активировать Фазу 2
4. Сверить с листом Decision Map → проверить запреты
5. Открыть Дашборд → обновить рыночные данные → получить финальный сигнал
6. При необходимости → открыть Calc_PnL → просчитать новый сценарий</t>
  </si>
  <si>
    <t>⚠️ ROLL ATM CALL — ВАЖНО</t>
  </si>
  <si>
    <t>Шаг 1: Откупить SELL CALL (страйк Ц+15) — он потерял тету, стоит дёшево
Шаг 2: Продать CALL по текущей ATM-цене (~центральный страйк ± 2 руб)
Этот CALL покрыт акциями LONG → нет голого риска вверх
НЕ делать Roll если: до экспирации &lt; 7 дней ИЛИ SELL CALL вырос &gt; 150% от цены входа</t>
  </si>
  <si>
    <t>📐 BS-ФОРМУЛА (для справки)</t>
  </si>
  <si>
    <t>d1 = (LN(S/K) + 0.5*σ²*T) / (σ*√T)
d2 = d1 - σ*√T
Call = S*N(d1) - K*N(d2)
Put = Call - S + K
В листе Calc_PnL: σ вводить как IV (имплицитная), не HV21.
T = кол-во дней до экспирации (не доля года).</t>
  </si>
  <si>
    <t>VBA code for Refresh Quotes button</t>
  </si>
  <si>
    <t>Sub RefreshQuotesAndCalc()
    Application.ScreenUpdating = False
    Application.EnableEvents = False
    ThisWorkbook.RefreshAll
    Application.CalculateFull
    MsgBox "Котировки и расчёты обновлены", vbInformation
    Application.EnableEvents = True
    Application.ScreenUpdating = True
End Sub</t>
  </si>
  <si>
    <t>Как подключить кнопку:</t>
  </si>
  <si>
    <t>1. Сохрани файл как .xlsm</t>
  </si>
  <si>
    <t>2. Alt+F11 -&gt; Insert -&gt; Module -&gt; вставь код из A2</t>
  </si>
  <si>
    <t>3. Developer -&gt; Insert -&gt; Button -&gt; назначь RefreshQuotesAndCalc</t>
  </si>
  <si>
    <t>4. Data -&gt; Refresh All тоже будет работать</t>
  </si>
  <si>
    <t>Если WEBSERVICE/FILTERXML не работают в локали, используй ручной ввод.</t>
  </si>
  <si>
    <t xml:space="preserve">  ВЕБСЛУЖБА("https://iss.moex.com/iss/engines/stock/markets/shares/boards/TQBR/securities/SBER.xml?iss.meta=off&amp;iss.only=marketdata&amp;marketdata.columns=LAST"),</t>
  </si>
  <si>
    <t xml:space="preserve">  "//rows/row/@LAST"</t>
  </si>
  <si>
    <t>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</si>
</sst>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dd\.mm\.yy"/>
    <numFmt numFmtId="166" formatCode="0.0%"/>
  </numFmts>
  <fonts count="40" x14ac:knownFonts="1">
    <font>
      <sz val="11"/>
      <color theme="1"/>
      <name val="Calibri"/>
      <family val="2"/>
      <scheme val="minor"/>
    </font>
    <font>
      <b/>
      <sz val="15"/>
      <color rgb="FF00CC96"/>
      <name val="Calibri"/>
      <family val="2"/>
      <charset val="204"/>
    </font>
    <font>
      <sz val="10"/>
      <color rgb="FFFFD700"/>
      <name val="Calibri"/>
      <family val="2"/>
      <charset val="204"/>
    </font>
    <font>
      <sz val="9"/>
      <color rgb="FFAAAAAA"/>
      <name val="Calibri"/>
      <family val="2"/>
      <charset val="204"/>
    </font>
    <font>
      <b/>
      <sz val="11"/>
      <color rgb="FF00CC96"/>
      <name val="Calibri"/>
      <family val="2"/>
      <charset val="204"/>
    </font>
    <font>
      <sz val="10"/>
      <color rgb="FFAAAAAA"/>
      <name val="Calibri"/>
      <family val="2"/>
      <charset val="204"/>
    </font>
    <font>
      <b/>
      <sz val="11"/>
      <color rgb="FF00FF99"/>
      <name val="Calibri"/>
      <family val="2"/>
      <charset val="204"/>
    </font>
    <font>
      <b/>
      <sz val="10"/>
      <color rgb="FF00CC96"/>
      <name val="Calibri"/>
      <family val="2"/>
      <charset val="204"/>
    </font>
    <font>
      <b/>
      <sz val="11"/>
      <color rgb="FFAB63FA"/>
      <name val="Calibri"/>
      <family val="2"/>
      <charset val="204"/>
    </font>
    <font>
      <b/>
      <sz val="11"/>
      <color rgb="FFFFD700"/>
      <name val="Calibri"/>
      <family val="2"/>
      <charset val="204"/>
    </font>
    <font>
      <b/>
      <sz val="10"/>
      <color rgb="FFFFD700"/>
      <name val="Calibri"/>
      <family val="2"/>
      <charset val="204"/>
    </font>
    <font>
      <b/>
      <sz val="10"/>
      <color rgb="FF00CC96"/>
      <name val="Calibri"/>
      <family val="2"/>
      <charset val="204"/>
    </font>
    <font>
      <b/>
      <sz val="10"/>
      <color rgb="FFFFA500"/>
      <name val="Calibri"/>
      <family val="2"/>
      <charset val="204"/>
    </font>
    <font>
      <b/>
      <sz val="10"/>
      <color rgb="FFFF6666"/>
      <name val="Calibri"/>
      <family val="2"/>
      <charset val="204"/>
    </font>
    <font>
      <sz val="9"/>
      <color rgb="FFFF9999"/>
      <name val="Calibri"/>
      <family val="2"/>
      <charset val="204"/>
    </font>
    <font>
      <b/>
      <sz val="13"/>
      <color rgb="FF00CC96"/>
      <name val="Calibri"/>
      <family val="2"/>
      <charset val="204"/>
    </font>
    <font>
      <b/>
      <sz val="9"/>
      <color rgb="FFFFD700"/>
      <name val="Calibri"/>
      <family val="2"/>
      <charset val="204"/>
    </font>
    <font>
      <sz val="9"/>
      <color rgb="FF888888"/>
      <name val="Calibri"/>
      <family val="2"/>
      <charset val="204"/>
    </font>
    <font>
      <b/>
      <sz val="10"/>
      <color rgb="FF00FF99"/>
      <name val="Calibri"/>
      <family val="2"/>
      <charset val="204"/>
    </font>
    <font>
      <b/>
      <sz val="10"/>
      <color rgb="FFFFFFFF"/>
      <name val="Calibri"/>
      <family val="2"/>
      <charset val="204"/>
    </font>
    <font>
      <sz val="9"/>
      <color rgb="FFCCCCCC"/>
      <name val="Calibri"/>
      <family val="2"/>
      <charset val="204"/>
    </font>
    <font>
      <b/>
      <sz val="11"/>
      <color rgb="FF00CC96"/>
      <name val="Calibri"/>
      <family val="2"/>
      <charset val="204"/>
    </font>
    <font>
      <b/>
      <sz val="11"/>
      <color rgb="FFAB63FA"/>
      <name val="Calibri"/>
      <family val="2"/>
      <charset val="204"/>
    </font>
    <font>
      <b/>
      <sz val="10"/>
      <color rgb="FFFFFFFF"/>
      <name val="Calibri"/>
      <family val="2"/>
      <charset val="204"/>
    </font>
    <font>
      <b/>
      <sz val="14"/>
      <color rgb="FF00CC96"/>
      <name val="Calibri"/>
      <family val="2"/>
      <charset val="204"/>
    </font>
    <font>
      <b/>
      <sz val="10"/>
      <color rgb="FFCCCCCC"/>
      <name val="Calibri"/>
      <family val="2"/>
      <charset val="204"/>
    </font>
    <font>
      <b/>
      <sz val="9"/>
      <color rgb="FF00FF99"/>
      <name val="Calibri"/>
      <family val="2"/>
      <charset val="204"/>
    </font>
    <font>
      <b/>
      <sz val="9"/>
      <color rgb="FFFF6666"/>
      <name val="Calibri"/>
      <family val="2"/>
      <charset val="204"/>
    </font>
    <font>
      <b/>
      <sz val="9"/>
      <color rgb="FFAAAAAA"/>
      <name val="Calibri"/>
      <family val="2"/>
      <charset val="204"/>
    </font>
    <font>
      <b/>
      <sz val="12"/>
      <color rgb="FFFF6666"/>
      <name val="Calibri"/>
      <family val="2"/>
      <charset val="204"/>
    </font>
    <font>
      <sz val="10"/>
      <color rgb="FFFF9999"/>
      <name val="Calibri"/>
      <family val="2"/>
      <charset val="204"/>
    </font>
    <font>
      <sz val="10"/>
      <color rgb="FF00FF99"/>
      <name val="Calibri"/>
      <family val="2"/>
      <charset val="204"/>
    </font>
    <font>
      <b/>
      <sz val="11"/>
      <color rgb="FFFFD700"/>
      <name val="Calibri"/>
      <family val="2"/>
      <charset val="204"/>
    </font>
    <font>
      <sz val="10"/>
      <color rgb="FFCCCCCC"/>
      <name val="Calibri"/>
      <family val="2"/>
      <charset val="204"/>
    </font>
    <font>
      <sz val="11"/>
      <color rgb="FFAAAAAA"/>
      <name val="Calibri"/>
      <family val="2"/>
      <charset val="204"/>
    </font>
    <font>
      <sz val="11"/>
      <color rgb="FF00CC96"/>
      <name val="Calibri"/>
      <family val="2"/>
      <charset val="204"/>
    </font>
    <font>
      <b/>
      <sz val="11"/>
      <color rgb="FF7FDBFF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0"/>
      <color rgb="FF7FDBFF"/>
      <name val="Calibri"/>
      <family val="2"/>
      <charset val="204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E1E2E"/>
      </patternFill>
    </fill>
    <fill>
      <patternFill patternType="solid">
        <fgColor rgb="FF2D2D44"/>
      </patternFill>
    </fill>
    <fill>
      <patternFill patternType="solid">
        <fgColor rgb="FF1A3A2A"/>
      </patternFill>
    </fill>
    <fill>
      <patternFill patternType="solid">
        <fgColor rgb="FF1E2E3A"/>
      </patternFill>
    </fill>
    <fill>
      <patternFill patternType="solid">
        <fgColor rgb="FF1A1A2E"/>
      </patternFill>
    </fill>
    <fill>
      <patternFill patternType="solid">
        <fgColor rgb="FF0D1A0D"/>
      </patternFill>
    </fill>
    <fill>
      <patternFill patternType="solid">
        <fgColor rgb="FF1A1A0A"/>
      </patternFill>
    </fill>
    <fill>
      <patternFill patternType="solid">
        <fgColor rgb="FF3A0D0D"/>
      </patternFill>
    </fill>
    <fill>
      <patternFill patternType="solid">
        <fgColor rgb="FF1A0808"/>
      </patternFill>
    </fill>
    <fill>
      <patternFill patternType="solid">
        <fgColor rgb="FF0D2A1A"/>
      </patternFill>
    </fill>
    <fill>
      <patternFill patternType="solid">
        <fgColor rgb="FF2A0D0D"/>
      </patternFill>
    </fill>
    <fill>
      <patternFill patternType="solid">
        <fgColor rgb="FF0D1A2A"/>
      </patternFill>
    </fill>
    <fill>
      <patternFill patternType="solid">
        <fgColor rgb="FF2A2A0D"/>
      </patternFill>
    </fill>
    <fill>
      <patternFill patternType="solid">
        <fgColor rgb="FF10263A"/>
      </patternFill>
    </fill>
    <fill>
      <patternFill patternType="solid">
        <fgColor rgb="FF2A1A00"/>
      </patternFill>
    </fill>
  </fills>
  <borders count="7">
    <border>
      <left/>
      <right/>
      <top/>
      <bottom/>
      <diagonal/>
    </border>
    <border>
      <left style="thin">
        <color rgb="FF555566"/>
      </left>
      <right style="thin">
        <color rgb="FF555566"/>
      </right>
      <top style="thin">
        <color rgb="FF555566"/>
      </top>
      <bottom style="thin">
        <color rgb="FF555566"/>
      </bottom>
      <diagonal/>
    </border>
    <border>
      <left style="medium">
        <color rgb="FF888899"/>
      </left>
      <right style="medium">
        <color rgb="FF888899"/>
      </right>
      <top style="medium">
        <color rgb="FF888899"/>
      </top>
      <bottom style="medium">
        <color rgb="FF888899"/>
      </bottom>
      <diagonal/>
    </border>
    <border>
      <left/>
      <right/>
      <top style="thin">
        <color rgb="FF555566"/>
      </top>
      <bottom style="thin">
        <color rgb="FF555566"/>
      </bottom>
      <diagonal/>
    </border>
    <border>
      <left/>
      <right style="thin">
        <color rgb="FF555566"/>
      </right>
      <top style="thin">
        <color rgb="FF555566"/>
      </top>
      <bottom style="thin">
        <color rgb="FF555566"/>
      </bottom>
      <diagonal/>
    </border>
    <border>
      <left/>
      <right style="thin">
        <color rgb="FF555566"/>
      </right>
      <top/>
      <bottom style="thin">
        <color rgb="FF555566"/>
      </bottom>
      <diagonal/>
    </border>
    <border>
      <left/>
      <right/>
      <top/>
      <bottom style="thin">
        <color rgb="FF555566"/>
      </bottom>
      <diagonal/>
    </border>
  </borders>
  <cellStyleXfs count="2">
    <xf numFmtId="0" fontId="0" fillId="0" borderId="0"/>
    <xf numFmtId="0" fontId="39" fillId="0" borderId="0" applyNumberFormat="0" applyFill="0" applyBorder="0" applyAlignment="0" applyProtection="0"/>
  </cellStyleXfs>
  <cellXfs count="73">
    <xf numFmtId="0" fontId="0" fillId="0" borderId="0" xfId="0"/>
    <xf numFmtId="0" fontId="9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164" fontId="6" fillId="4" borderId="1" xfId="0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1" fontId="6" fillId="4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1" fontId="7" fillId="5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165" fontId="18" fillId="4" borderId="1" xfId="0" applyNumberFormat="1" applyFont="1" applyFill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166" fontId="18" fillId="4" borderId="1" xfId="0" applyNumberFormat="1" applyFont="1" applyFill="1" applyBorder="1" applyAlignment="1">
      <alignment horizontal="center" vertical="center"/>
    </xf>
    <xf numFmtId="49" fontId="19" fillId="6" borderId="1" xfId="0" applyNumberFormat="1" applyFont="1" applyFill="1" applyBorder="1" applyAlignment="1">
      <alignment horizontal="center" vertical="center"/>
    </xf>
    <xf numFmtId="49" fontId="19" fillId="5" borderId="1" xfId="0" applyNumberFormat="1" applyFont="1" applyFill="1" applyBorder="1" applyAlignment="1">
      <alignment horizontal="center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left" vertical="center" wrapText="1"/>
    </xf>
    <xf numFmtId="166" fontId="6" fillId="4" borderId="1" xfId="0" applyNumberFormat="1" applyFont="1" applyFill="1" applyBorder="1" applyAlignment="1">
      <alignment horizontal="center" vertical="center"/>
    </xf>
    <xf numFmtId="1" fontId="18" fillId="4" borderId="1" xfId="0" applyNumberFormat="1" applyFont="1" applyFill="1" applyBorder="1" applyAlignment="1">
      <alignment horizontal="center" vertical="center"/>
    </xf>
    <xf numFmtId="49" fontId="18" fillId="4" borderId="1" xfId="0" applyNumberFormat="1" applyFont="1" applyFill="1" applyBorder="1" applyAlignment="1">
      <alignment horizontal="center" vertical="center"/>
    </xf>
    <xf numFmtId="3" fontId="18" fillId="4" borderId="1" xfId="0" applyNumberFormat="1" applyFont="1" applyFill="1" applyBorder="1" applyAlignment="1">
      <alignment horizontal="center" vertical="center"/>
    </xf>
    <xf numFmtId="3" fontId="21" fillId="13" borderId="2" xfId="0" applyNumberFormat="1" applyFont="1" applyFill="1" applyBorder="1" applyAlignment="1">
      <alignment horizontal="center" vertical="center"/>
    </xf>
    <xf numFmtId="3" fontId="22" fillId="6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66" fontId="7" fillId="5" borderId="1" xfId="0" applyNumberFormat="1" applyFont="1" applyFill="1" applyBorder="1" applyAlignment="1">
      <alignment horizontal="center" vertical="center"/>
    </xf>
    <xf numFmtId="3" fontId="7" fillId="5" borderId="1" xfId="0" applyNumberFormat="1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left" vertical="center"/>
    </xf>
    <xf numFmtId="0" fontId="26" fillId="11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2" fontId="36" fillId="15" borderId="1" xfId="0" applyNumberFormat="1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left" vertical="center"/>
    </xf>
    <xf numFmtId="0" fontId="35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1" fontId="36" fillId="5" borderId="1" xfId="0" applyNumberFormat="1" applyFont="1" applyFill="1" applyBorder="1" applyAlignment="1">
      <alignment horizontal="center" vertical="center"/>
    </xf>
    <xf numFmtId="3" fontId="4" fillId="5" borderId="1" xfId="0" applyNumberFormat="1" applyFont="1" applyFill="1" applyBorder="1" applyAlignment="1">
      <alignment horizontal="center" vertical="center"/>
    </xf>
    <xf numFmtId="4" fontId="6" fillId="5" borderId="1" xfId="0" applyNumberFormat="1" applyFont="1" applyFill="1" applyBorder="1" applyAlignment="1">
      <alignment horizontal="center" vertical="center"/>
    </xf>
    <xf numFmtId="4" fontId="6" fillId="4" borderId="1" xfId="0" applyNumberFormat="1" applyFont="1" applyFill="1" applyBorder="1" applyAlignment="1">
      <alignment horizontal="center" vertical="center"/>
    </xf>
    <xf numFmtId="3" fontId="6" fillId="11" borderId="1" xfId="0" applyNumberFormat="1" applyFont="1" applyFill="1" applyBorder="1" applyAlignment="1">
      <alignment horizontal="center" vertical="center"/>
    </xf>
    <xf numFmtId="3" fontId="36" fillId="5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11" fillId="7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5" xfId="0" applyBorder="1"/>
    <xf numFmtId="0" fontId="10" fillId="14" borderId="1" xfId="0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0" fillId="10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top" wrapText="1"/>
    </xf>
    <xf numFmtId="0" fontId="32" fillId="3" borderId="1" xfId="0" applyFont="1" applyFill="1" applyBorder="1" applyAlignment="1">
      <alignment horizontal="left" vertical="center"/>
    </xf>
    <xf numFmtId="14" fontId="6" fillId="4" borderId="1" xfId="0" applyNumberFormat="1" applyFont="1" applyFill="1" applyBorder="1" applyAlignment="1">
      <alignment horizontal="center" vertical="center"/>
    </xf>
    <xf numFmtId="0" fontId="39" fillId="0" borderId="0" xfId="1"/>
  </cellXfs>
  <cellStyles count="2">
    <cellStyle name="Гиперссылка" xfId="1" builtinId="8"/>
    <cellStyle name="Обычный" xfId="0" builtinId="0"/>
  </cellStyles>
  <dxfs count="12">
    <dxf>
      <font>
        <b/>
        <color rgb="FF00FF99"/>
      </font>
      <fill>
        <patternFill patternType="solid">
          <fgColor rgb="FF0D2A1A"/>
        </patternFill>
      </fill>
    </dxf>
    <dxf>
      <font>
        <b/>
        <color rgb="FFFFA500"/>
      </font>
      <fill>
        <patternFill patternType="solid">
          <fgColor rgb="FF2A1A00"/>
        </patternFill>
      </fill>
    </dxf>
    <dxf>
      <font>
        <b/>
        <color rgb="FFFF6666"/>
      </font>
      <fill>
        <patternFill patternType="solid">
          <fgColor rgb="FF3A0D0D"/>
        </patternFill>
      </fill>
    </dxf>
    <dxf>
      <font>
        <b/>
        <color rgb="FF00FF99"/>
      </font>
      <fill>
        <patternFill patternType="solid">
          <fgColor rgb="FF0D2A1A"/>
        </patternFill>
      </fill>
    </dxf>
    <dxf>
      <font>
        <b/>
        <color rgb="FFFFA500"/>
      </font>
      <fill>
        <patternFill patternType="solid">
          <fgColor rgb="FF2A1A00"/>
        </patternFill>
      </fill>
    </dxf>
    <dxf>
      <font>
        <b/>
        <color rgb="FFFF6666"/>
      </font>
      <fill>
        <patternFill patternType="solid">
          <fgColor rgb="FF3A0D0D"/>
        </patternFill>
      </fill>
    </dxf>
    <dxf>
      <font>
        <b/>
        <color rgb="FF00FF99"/>
      </font>
      <fill>
        <patternFill patternType="solid">
          <fgColor rgb="FF0D2A1A"/>
        </patternFill>
      </fill>
    </dxf>
    <dxf>
      <font>
        <b/>
        <color rgb="FFFF6666"/>
      </font>
      <fill>
        <patternFill patternType="solid">
          <fgColor rgb="FF3A0D0D"/>
        </patternFill>
      </fill>
    </dxf>
    <dxf>
      <font>
        <b/>
        <color rgb="FFFF6666"/>
      </font>
      <fill>
        <patternFill patternType="solid">
          <fgColor rgb="FF3A0D0D"/>
        </patternFill>
      </fill>
    </dxf>
    <dxf>
      <font>
        <b/>
        <color rgb="FF00FF99"/>
      </font>
      <fill>
        <patternFill patternType="solid">
          <fgColor rgb="FF0D2A1A"/>
        </patternFill>
      </fill>
    </dxf>
    <dxf>
      <font>
        <b/>
        <color rgb="FF00FF99"/>
      </font>
      <fill>
        <patternFill patternType="solid">
          <fgColor rgb="FF0D2A1A"/>
        </patternFill>
      </fill>
    </dxf>
    <dxf>
      <font>
        <b/>
        <color rgb="FFFFA500"/>
      </font>
      <fill>
        <patternFill patternType="solid">
          <fgColor rgb="FF2A1A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Dashbord!$G$5:$G$7</c:f>
              <c:strCache>
                <c:ptCount val="3"/>
                <c:pt idx="0">
                  <c:v>СИГНАЛ ПРИНЯТИЯ РЕШЕНИЯ</c:v>
                </c:pt>
                <c:pt idx="1">
                  <c:v>РЕЖИМ:</c:v>
                </c:pt>
                <c:pt idx="2">
                  <c:v>ДЕЙСТВИЕ:</c:v>
                </c:pt>
              </c:strCache>
            </c:strRef>
          </c:cat>
          <c:val>
            <c:numRef>
              <c:f>Dashbord!$H$5:$H$7</c:f>
              <c:numCache>
                <c:formatCode>@</c:formatCode>
                <c:ptCount val="3"/>
                <c:pt idx="1">
                  <c:v>0</c:v>
                </c:pt>
                <c:pt idx="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1-4752-ACB1-2FD2F13F3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515728"/>
        <c:axId val="524760608"/>
      </c:barChart>
      <c:catAx>
        <c:axId val="53751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760608"/>
        <c:crosses val="autoZero"/>
        <c:auto val="1"/>
        <c:lblAlgn val="ctr"/>
        <c:lblOffset val="100"/>
        <c:noMultiLvlLbl val="0"/>
      </c:catAx>
      <c:valAx>
        <c:axId val="5247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1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c:style val="2"/>
  <c:chart>
    <c:title>
      <c:tx>
        <c:rich>
          <a:bodyPr/>
          <a:lstStyle/>
          <a:p>
            <a:pPr>
              <a:defRPr/>
            </a:pPr>
            <a:r>
              <a:t>Кумулятивный P&amp;L по циклам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Cycles!$O$3</c:f>
              <c:strCache>
                <c:ptCount val="1"/>
                <c:pt idx="0">
                  <c:v>Кум.
P&amp;L</c:v>
                </c:pt>
              </c:strCache>
            </c:strRef>
          </c:tx>
          <c:spPr>
            <a:ln w="28000">
              <a:solidFill>
                <a:srgbClr val="AB63FA"/>
              </a:solidFill>
              <a:prstDash val="solid"/>
            </a:ln>
          </c:spPr>
          <c:marker>
            <c:symbol val="none"/>
          </c:marker>
          <c:val>
            <c:numRef>
              <c:f>Cycles!$O$4:$O$24</c:f>
              <c:numCache>
                <c:formatCode>#,##0</c:formatCode>
                <c:ptCount val="21"/>
                <c:pt idx="0">
                  <c:v>66</c:v>
                </c:pt>
                <c:pt idx="1">
                  <c:v>7652</c:v>
                </c:pt>
                <c:pt idx="2">
                  <c:v>16710</c:v>
                </c:pt>
                <c:pt idx="3">
                  <c:v>28261</c:v>
                </c:pt>
                <c:pt idx="4">
                  <c:v>48584</c:v>
                </c:pt>
                <c:pt idx="5">
                  <c:v>42107</c:v>
                </c:pt>
                <c:pt idx="6">
                  <c:v>52777</c:v>
                </c:pt>
                <c:pt idx="7">
                  <c:v>82991</c:v>
                </c:pt>
                <c:pt idx="8">
                  <c:v>89864</c:v>
                </c:pt>
                <c:pt idx="9">
                  <c:v>94749</c:v>
                </c:pt>
                <c:pt idx="10">
                  <c:v>100290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EE-4660-8A90-67014ABEF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Цикл №</a:t>
                </a:r>
              </a:p>
            </c:rich>
          </c:tx>
          <c:overlay val="1"/>
        </c:title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Накопл. P&amp;L, руб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8FBA91D-AF4E-4C25-8222-54425BD45285}">
  <sheetPr codeName="Диаграмма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B2C8E6B-8FB1-FA75-45CC-80C82CD13C8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704850</xdr:colOff>
          <xdr:row>0</xdr:row>
          <xdr:rowOff>161925</xdr:rowOff>
        </xdr:from>
        <xdr:to>
          <xdr:col>7</xdr:col>
          <xdr:colOff>2295525</xdr:colOff>
          <xdr:row>2</xdr:row>
          <xdr:rowOff>123825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792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25"/>
  <sheetViews>
    <sheetView showGridLines="0" tabSelected="1" workbookViewId="0">
      <pane ySplit="6" topLeftCell="A7" activePane="bottomLeft" state="frozen"/>
      <selection pane="bottomLeft" activeCell="I11" sqref="I11"/>
    </sheetView>
  </sheetViews>
  <sheetFormatPr defaultRowHeight="15" x14ac:dyDescent="0.25"/>
  <cols>
    <col min="1" max="1" width="24" customWidth="1"/>
    <col min="2" max="2" width="16" customWidth="1"/>
    <col min="3" max="3" width="2" customWidth="1"/>
    <col min="4" max="4" width="28" customWidth="1"/>
    <col min="5" max="5" width="18" customWidth="1"/>
    <col min="6" max="6" width="2" customWidth="1"/>
    <col min="7" max="7" width="6" customWidth="1"/>
    <col min="8" max="8" width="42" customWidth="1"/>
    <col min="9" max="9" width="18" customWidth="1"/>
    <col min="10" max="10" width="14" customWidth="1"/>
    <col min="12" max="14" width="14" customWidth="1"/>
  </cols>
  <sheetData>
    <row r="1" spans="1:10" ht="33.950000000000003" customHeight="1" x14ac:dyDescent="0.25">
      <c r="A1" s="49" t="s">
        <v>0</v>
      </c>
      <c r="B1" s="45"/>
      <c r="C1" s="45"/>
      <c r="D1" s="45"/>
      <c r="E1" s="45"/>
      <c r="F1" s="45"/>
      <c r="G1" s="45"/>
      <c r="H1" s="46"/>
    </row>
    <row r="2" spans="1:10" ht="18" customHeight="1" x14ac:dyDescent="0.25">
      <c r="A2" s="51" t="s">
        <v>1</v>
      </c>
      <c r="B2" s="45"/>
      <c r="C2" s="45"/>
      <c r="D2" s="45"/>
      <c r="E2" s="45"/>
      <c r="F2" s="45"/>
      <c r="G2" s="45"/>
      <c r="H2" s="46"/>
    </row>
    <row r="3" spans="1:10" ht="15" customHeight="1" x14ac:dyDescent="0.25">
      <c r="A3" s="57" t="s">
        <v>2</v>
      </c>
      <c r="B3" s="45"/>
      <c r="C3" s="45"/>
      <c r="D3" s="45"/>
      <c r="E3" s="45"/>
      <c r="F3" s="45"/>
      <c r="G3" s="45"/>
      <c r="H3" s="46"/>
    </row>
    <row r="5" spans="1:10" ht="21.95" customHeight="1" x14ac:dyDescent="0.25">
      <c r="A5" s="54" t="s">
        <v>3</v>
      </c>
      <c r="B5" s="46"/>
      <c r="D5" s="53" t="s">
        <v>4</v>
      </c>
      <c r="E5" s="46"/>
      <c r="G5" s="55" t="s">
        <v>5</v>
      </c>
      <c r="H5" s="46"/>
    </row>
    <row r="6" spans="1:10" ht="20.100000000000001" customHeight="1" x14ac:dyDescent="0.25">
      <c r="A6" s="2" t="s">
        <v>6</v>
      </c>
      <c r="B6" s="3">
        <v>46124</v>
      </c>
      <c r="D6" s="2" t="s">
        <v>7</v>
      </c>
      <c r="E6" s="71">
        <v>46126</v>
      </c>
      <c r="G6" s="2" t="s">
        <v>8</v>
      </c>
      <c r="H6" s="5" t="e">
        <f ca="1">IF(E12="","Введи данные",IF(AND(E12&lt;6,ABS(E13)&lt;3,E14&lt;3),"ФЛЭТ",IF(OR(E12&gt;10,ABS(E13)&gt;6),IF(E13&gt;0,"ТРЕНД ВВЕРХ","ТРЕНД ВНИЗ"),"ЖДАТЬ")))</f>
        <v>#NAME?</v>
      </c>
    </row>
    <row r="7" spans="1:10" ht="39.950000000000003" customHeight="1" x14ac:dyDescent="0.25">
      <c r="A7" s="2" t="s">
        <v>9</v>
      </c>
      <c r="B7" s="4">
        <v>317.2</v>
      </c>
      <c r="D7" s="2" t="s">
        <v>10</v>
      </c>
      <c r="E7" s="33" t="e">
        <f ca="1">_xludf.FILTERXML(_xludf.WEBSERVICE("https://iss.moex.com/iss/engines/stock/markets/shares/boards/TQBR/securities/SBER/candles.xml?from="&amp;TEXT(E16,"yyyy-mm-dd")&amp;"&amp;till="&amp;TEXT(E16,"yyyy-mm-dd")&amp;"&amp;interval=24"),"//row/@close")</f>
        <v>#NAME?</v>
      </c>
      <c r="G7" s="2" t="s">
        <v>11</v>
      </c>
      <c r="H7" s="47" t="e">
        <f ca="1">IF(H6="Введи данные","Заполни поля E6:E11",IF(H6="ФЛЭТ","ШАГ1: Продать BUY CALL "&amp;B11&amp;" | ШАГ2: Roll откупить "&amp;B12&amp;" продать ATM | ШАГ3: PUT "&amp;B9,IF(H6="ТРЕНД ВВЕРХ","НЕ трогать CALL. Акции растут. Следить страйк "&amp;B12,IF(H6="ТРЕНД ВНИЗ","НЕ продавать PUT. BUY PUT "&amp;B9&amp;" защищает.",""))))</f>
        <v>#NAME?</v>
      </c>
    </row>
    <row r="8" spans="1:10" ht="20.100000000000001" customHeight="1" x14ac:dyDescent="0.25">
      <c r="A8" s="2" t="s">
        <v>12</v>
      </c>
      <c r="B8" s="6">
        <v>315</v>
      </c>
      <c r="D8" s="2" t="s">
        <v>13</v>
      </c>
      <c r="E8" s="33" t="e">
        <f ca="1">_xludf.FILTERXML(_xludf.WEBSERVICE("https://iss.moex.com/iss/engines/stock/markets/shares/boards/TQBR/securities/SBER/candles.xml?from="&amp;TEXT(E16,"yyyy-mm-dd")&amp;"&amp;till="&amp;TEXT(E16,"yyyy-mm-dd")&amp;"&amp;interval=24"),"//row/@high")</f>
        <v>#NAME?</v>
      </c>
      <c r="I8" s="72"/>
    </row>
    <row r="9" spans="1:10" ht="20.100000000000001" customHeight="1" x14ac:dyDescent="0.25">
      <c r="A9" s="2" t="s">
        <v>14</v>
      </c>
      <c r="B9" s="6">
        <v>305</v>
      </c>
      <c r="D9" s="2" t="s">
        <v>15</v>
      </c>
      <c r="E9" s="33" t="e">
        <f ca="1">_xludf.FILTERXML(_xludf.WEBSERVICE("https://iss.moex.com/iss/engines/stock/markets/shares/boards/TQBR/securities/SBER/candles.xml?from="&amp;TEXT(E16,"yyyy-mm-dd")&amp;"&amp;till="&amp;TEXT(E16,"yyyy-mm-dd")&amp;"&amp;interval=24"),"//row/@low")</f>
        <v>#NAME?</v>
      </c>
      <c r="G9" s="2" t="s">
        <v>16</v>
      </c>
      <c r="H9" s="7" t="str">
        <f>IF(E15="","нет данных",IF(E15&gt;=10,"ДА: День "&amp;E15&amp;" — проверь журнал флэт-дней","НЕТ: День "&amp;E15&amp;" из 21"))</f>
        <v>НЕТ: День 3 из 21</v>
      </c>
    </row>
    <row r="10" spans="1:10" ht="20.100000000000001" customHeight="1" x14ac:dyDescent="0.25">
      <c r="A10" s="2" t="s">
        <v>17</v>
      </c>
      <c r="B10" s="6">
        <v>315</v>
      </c>
      <c r="D10" s="2" t="s">
        <v>18</v>
      </c>
      <c r="E10" s="33" t="e">
        <f ca="1">_xludf.FILTERXML(_xludf.WEBSERVICE("https://iss.moex.com/iss/engines/stock/markets/shares/boards/TQBR/securities/SBER/candles.xml?from="&amp;TEXT(E17,"yyyy-mm-dd")&amp;"&amp;till="&amp;TEXT(E17,"yyyy-mm-dd")&amp;"&amp;interval=24"),"//row/@close")</f>
        <v>#NAME?</v>
      </c>
    </row>
    <row r="11" spans="1:10" ht="20.100000000000001" customHeight="1" x14ac:dyDescent="0.25">
      <c r="A11" s="2" t="s">
        <v>19</v>
      </c>
      <c r="B11" s="6">
        <v>320</v>
      </c>
      <c r="D11" s="2" t="s">
        <v>20</v>
      </c>
      <c r="E11" s="19">
        <f>E18</f>
        <v>0.125</v>
      </c>
      <c r="G11" s="52" t="s">
        <v>21</v>
      </c>
      <c r="H11" s="46"/>
      <c r="I11" t="str">
        <f>_xlfn.FILTERXML(_xlfn.WEBSERVICE("https://iss.moex.com/iss/engines/stock/markets/shares/boards/TQBR/securities/SBER.xml?iss.meta=off&amp;iss.only=marketdata&amp;marketdata.columns=LAST"),"//rows/row/@LAST")</f>
        <v>317.2</v>
      </c>
    </row>
    <row r="12" spans="1:10" ht="21.95" customHeight="1" x14ac:dyDescent="0.25">
      <c r="A12" s="2" t="s">
        <v>22</v>
      </c>
      <c r="B12" s="6">
        <v>330</v>
      </c>
      <c r="D12" s="2" t="s">
        <v>23</v>
      </c>
      <c r="E12" s="8" t="e">
        <f ca="1">IF(AND(E8&lt;&gt;"",E9&lt;&gt;""),E8-E9,"")</f>
        <v>#NAME?</v>
      </c>
      <c r="G12" s="48" t="s">
        <v>24</v>
      </c>
      <c r="H12" s="46"/>
      <c r="I12" t="s">
        <v>223</v>
      </c>
    </row>
    <row r="13" spans="1:10" ht="21.95" customHeight="1" x14ac:dyDescent="0.25">
      <c r="A13" s="2" t="s">
        <v>25</v>
      </c>
      <c r="B13" s="6">
        <v>1000</v>
      </c>
      <c r="D13" s="2" t="s">
        <v>26</v>
      </c>
      <c r="E13" s="8" t="e">
        <f ca="1">IF(AND(E7&lt;&gt;"",E10&lt;&gt;""),E7-E10,"")</f>
        <v>#NAME?</v>
      </c>
      <c r="G13" s="48" t="s">
        <v>27</v>
      </c>
      <c r="H13" s="46"/>
      <c r="I13" t="s">
        <v>224</v>
      </c>
    </row>
    <row r="14" spans="1:10" ht="21.95" customHeight="1" x14ac:dyDescent="0.25">
      <c r="A14" s="2" t="s">
        <v>28</v>
      </c>
      <c r="B14" s="3"/>
      <c r="D14" s="2" t="s">
        <v>29</v>
      </c>
      <c r="E14" s="8" t="e">
        <f ca="1">IF(AND(E7&lt;&gt;"",B8&lt;&gt;""),ABS(E7-B8),"")</f>
        <v>#NAME?</v>
      </c>
      <c r="G14" s="48" t="s">
        <v>30</v>
      </c>
      <c r="H14" s="46"/>
      <c r="I14" t="s">
        <v>225</v>
      </c>
    </row>
    <row r="15" spans="1:10" ht="27.95" customHeight="1" x14ac:dyDescent="0.25">
      <c r="A15" s="2" t="s">
        <v>31</v>
      </c>
      <c r="B15" s="9" t="str">
        <f ca="1">IF(B14="","",MAX(0,B14-TODAY()))</f>
        <v/>
      </c>
      <c r="D15" s="2" t="s">
        <v>32</v>
      </c>
      <c r="E15" s="9">
        <f>IF(AND(B6&lt;&gt;"",E6&lt;&gt;""),MAX(1,E6-B6+1),"")</f>
        <v>3</v>
      </c>
      <c r="H15" s="56" t="s">
        <v>33</v>
      </c>
      <c r="I15" s="45"/>
      <c r="J15" s="46"/>
    </row>
    <row r="16" spans="1:10" x14ac:dyDescent="0.25">
      <c r="D16" s="34" t="s">
        <v>34</v>
      </c>
      <c r="E16" s="35">
        <f ca="1">IF(E6&lt;&gt;"",E6,TODAY()-1)</f>
        <v>46126</v>
      </c>
      <c r="H16" s="1" t="s">
        <v>35</v>
      </c>
      <c r="I16" s="62" t="str">
        <f>IF(E15&lt;10,"ФАЗА 1: базовый кондор",IF(AND(H6="ФЛЭТ",E15&gt;=10),"ФАЗА 2: продать BUY CALL и Roll CALL","ФАЗА 1/ожидание"))</f>
        <v>ФАЗА 1: базовый кондор</v>
      </c>
      <c r="J16" s="46"/>
    </row>
    <row r="17" spans="4:14" x14ac:dyDescent="0.25">
      <c r="D17" s="34" t="s">
        <v>36</v>
      </c>
      <c r="E17" s="35">
        <f ca="1">WORKDAY(E16,-1)</f>
        <v>46125</v>
      </c>
    </row>
    <row r="18" spans="4:14" x14ac:dyDescent="0.25">
      <c r="D18" s="34" t="s">
        <v>37</v>
      </c>
      <c r="E18" s="19">
        <v>0.125</v>
      </c>
      <c r="H18" s="36" t="s">
        <v>38</v>
      </c>
      <c r="J18" s="36" t="s">
        <v>39</v>
      </c>
      <c r="L18" s="1" t="s">
        <v>40</v>
      </c>
    </row>
    <row r="19" spans="4:14" x14ac:dyDescent="0.25">
      <c r="D19" s="2" t="s">
        <v>41</v>
      </c>
      <c r="E19" s="58" t="str">
        <f ca="1">"https://iss.moex.com/iss/engines/stock/markets/shares/boards/TQBR/securities/SBER/candles.xml?from="&amp;TEXT(E16,"yyyy-mm-dd")&amp;"&amp;till="&amp;TEXT(E16,"yyyy-mm-dd")&amp;"&amp;interval=24"</f>
        <v>https://iss.moex.com/iss/engines/stock/markets/shares/boards/TQBR/securities/SBER/candles.xml?from=yyyy-mm-dd&amp;till=yyyy-mm-dd&amp;interval=24</v>
      </c>
      <c r="F19" s="59"/>
      <c r="G19" s="59"/>
      <c r="H19" s="59"/>
      <c r="I19" s="59"/>
      <c r="J19" s="60"/>
      <c r="K19" s="4"/>
      <c r="L19" s="34" t="s">
        <v>42</v>
      </c>
      <c r="M19" s="37">
        <f>B9-5</f>
        <v>300</v>
      </c>
      <c r="N19" s="4"/>
    </row>
    <row r="20" spans="4:14" x14ac:dyDescent="0.25">
      <c r="H20" s="34" t="s">
        <v>43</v>
      </c>
      <c r="I20" s="4"/>
      <c r="J20" s="34" t="s">
        <v>44</v>
      </c>
      <c r="K20" s="4"/>
      <c r="L20" s="34" t="s">
        <v>45</v>
      </c>
      <c r="M20" s="37">
        <f>B10</f>
        <v>315</v>
      </c>
      <c r="N20" s="4"/>
    </row>
    <row r="21" spans="4:14" x14ac:dyDescent="0.25">
      <c r="H21" s="34" t="s">
        <v>46</v>
      </c>
      <c r="I21" s="4"/>
      <c r="J21" s="34" t="s">
        <v>47</v>
      </c>
      <c r="K21" s="4"/>
      <c r="L21" s="34" t="s">
        <v>48</v>
      </c>
      <c r="M21" s="37">
        <f>B11</f>
        <v>320</v>
      </c>
      <c r="N21" s="4"/>
    </row>
    <row r="22" spans="4:14" x14ac:dyDescent="0.25">
      <c r="H22" s="34" t="s">
        <v>49</v>
      </c>
      <c r="I22" s="4"/>
      <c r="J22" s="34" t="s">
        <v>50</v>
      </c>
      <c r="K22" s="4"/>
      <c r="L22" s="34" t="s">
        <v>51</v>
      </c>
      <c r="M22" s="37">
        <f>B12+5</f>
        <v>335</v>
      </c>
      <c r="N22" s="4"/>
    </row>
    <row r="23" spans="4:14" x14ac:dyDescent="0.25">
      <c r="L23" s="44" t="s">
        <v>52</v>
      </c>
      <c r="M23" s="45"/>
      <c r="N23" s="46"/>
    </row>
    <row r="24" spans="4:14" x14ac:dyDescent="0.25">
      <c r="H24" s="61" t="s">
        <v>53</v>
      </c>
      <c r="I24" s="45"/>
      <c r="J24" s="46"/>
    </row>
    <row r="25" spans="4:14" x14ac:dyDescent="0.25">
      <c r="H25" s="50" t="s">
        <v>54</v>
      </c>
      <c r="I25" s="45"/>
      <c r="J25" s="46"/>
    </row>
  </sheetData>
  <mergeCells count="17">
    <mergeCell ref="I16:J16"/>
    <mergeCell ref="L23:N23"/>
    <mergeCell ref="H7"/>
    <mergeCell ref="G14:H14"/>
    <mergeCell ref="A1:H1"/>
    <mergeCell ref="H25:J25"/>
    <mergeCell ref="G13:H13"/>
    <mergeCell ref="A2:H2"/>
    <mergeCell ref="G11:H11"/>
    <mergeCell ref="D5:E5"/>
    <mergeCell ref="A5:B5"/>
    <mergeCell ref="G5:H5"/>
    <mergeCell ref="H15:J15"/>
    <mergeCell ref="A3:H3"/>
    <mergeCell ref="G12:H12"/>
    <mergeCell ref="E19:J19"/>
    <mergeCell ref="H24:J24"/>
  </mergeCells>
  <conditionalFormatting sqref="I16:J16">
    <cfRule type="expression" dxfId="11" priority="1">
      <formula>ISNUMBER(SEARCH("ФАЗА 2",I16))</formula>
    </cfRule>
    <cfRule type="expression" dxfId="10" priority="2">
      <formula>ISNUMBER(SEARCH("ФАЗА 1",I16))</formula>
    </cfRule>
  </conditionalFormatting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7</xdr:col>
                <xdr:colOff>704850</xdr:colOff>
                <xdr:row>0</xdr:row>
                <xdr:rowOff>161925</xdr:rowOff>
              </from>
              <to>
                <xdr:col>7</xdr:col>
                <xdr:colOff>2295525</xdr:colOff>
                <xdr:row>2</xdr:row>
                <xdr:rowOff>123825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63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5" customWidth="1"/>
    <col min="2" max="2" width="10" customWidth="1"/>
    <col min="3" max="6" width="8" customWidth="1"/>
    <col min="7" max="10" width="7" customWidth="1"/>
    <col min="11" max="14" width="16" customWidth="1"/>
    <col min="15" max="15" width="26" customWidth="1"/>
  </cols>
  <sheetData>
    <row r="1" spans="1:15" ht="27.95" customHeight="1" x14ac:dyDescent="0.25">
      <c r="A1" s="63" t="s">
        <v>55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6"/>
    </row>
    <row r="2" spans="1:15" ht="15" customHeight="1" x14ac:dyDescent="0.25">
      <c r="A2" s="64" t="s">
        <v>56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6"/>
    </row>
    <row r="3" spans="1:15" ht="27.95" customHeight="1" x14ac:dyDescent="0.25">
      <c r="A3" s="10" t="s">
        <v>57</v>
      </c>
      <c r="B3" s="10" t="s">
        <v>58</v>
      </c>
      <c r="C3" s="10" t="s">
        <v>59</v>
      </c>
      <c r="D3" s="10" t="s">
        <v>60</v>
      </c>
      <c r="E3" s="10" t="s">
        <v>61</v>
      </c>
      <c r="F3" s="10" t="s">
        <v>62</v>
      </c>
      <c r="G3" s="10" t="s">
        <v>63</v>
      </c>
      <c r="H3" s="10" t="s">
        <v>64</v>
      </c>
      <c r="I3" s="10" t="s">
        <v>65</v>
      </c>
      <c r="J3" s="10" t="s">
        <v>66</v>
      </c>
      <c r="K3" s="10" t="s">
        <v>67</v>
      </c>
      <c r="L3" s="10" t="s">
        <v>68</v>
      </c>
      <c r="M3" s="10" t="s">
        <v>69</v>
      </c>
      <c r="N3" s="10" t="s">
        <v>70</v>
      </c>
      <c r="O3" s="10" t="s">
        <v>71</v>
      </c>
    </row>
    <row r="4" spans="1:15" ht="18" customHeight="1" x14ac:dyDescent="0.25">
      <c r="A4" s="11">
        <v>1</v>
      </c>
      <c r="B4" s="12"/>
      <c r="C4" s="13"/>
      <c r="D4" s="13"/>
      <c r="E4" s="13"/>
      <c r="F4" s="13"/>
      <c r="G4" s="8" t="str">
        <f t="shared" ref="G4:G35" si="0">IF(AND(D4&lt;&gt;"",E4&lt;&gt;""),D4-E4,"")</f>
        <v/>
      </c>
      <c r="H4" s="8" t="str">
        <f t="shared" ref="H4:H35" si="1">IF(AND(C4&lt;&gt;"",F4&lt;&gt;""),C4-F4,"")</f>
        <v/>
      </c>
      <c r="I4" s="8" t="str">
        <f>IF(AND(C4&lt;&gt;"",Dashbord!$B$8&lt;&gt;""),ABS(C4-Dashbord!$B$8),"")</f>
        <v/>
      </c>
      <c r="J4" s="14"/>
      <c r="K4" s="15" t="str">
        <f t="shared" ref="K4:K35" si="2">IF(G4="","",IF(AND(G4&lt;6,ABS(H4)&lt;3,I4&lt;3),"FLAT",IF(OR(G4&gt;10,ABS(H4)&gt;6),IF(H4&gt;0,"TREND UP","TREND DOWN"),"WAIT")))</f>
        <v/>
      </c>
      <c r="L4" s="16" t="str">
        <f t="shared" ref="L4:L35" si="3">IF(K4="","",IF(K4="FLAT","YES",IF(K4="TREND UP","NO","WAIT")))</f>
        <v/>
      </c>
      <c r="M4" s="16" t="str">
        <f t="shared" ref="M4:M35" si="4">IF(K4="","",IF(K4="TREND DOWN","NO",IF(K4="FLAT","YES","WAIT")))</f>
        <v/>
      </c>
      <c r="N4" s="17" t="str">
        <f>IF(K4="","",IF(COUNTIF(K4:K4,"FLAT")&gt;=8,"ACTIVATE","No: "&amp;COUNTIF(K4:K4,"FLAT")&amp;"/10"))</f>
        <v/>
      </c>
      <c r="O4" s="18"/>
    </row>
    <row r="5" spans="1:15" ht="18" customHeight="1" x14ac:dyDescent="0.25">
      <c r="A5" s="11">
        <v>2</v>
      </c>
      <c r="B5" s="12"/>
      <c r="C5" s="13"/>
      <c r="D5" s="13"/>
      <c r="E5" s="13"/>
      <c r="F5" s="13"/>
      <c r="G5" s="8" t="str">
        <f t="shared" si="0"/>
        <v/>
      </c>
      <c r="H5" s="8" t="str">
        <f t="shared" si="1"/>
        <v/>
      </c>
      <c r="I5" s="8" t="str">
        <f>IF(AND(C5&lt;&gt;"",Dashbord!$B$8&lt;&gt;""),ABS(C5-Dashbord!$B$8),"")</f>
        <v/>
      </c>
      <c r="J5" s="14"/>
      <c r="K5" s="15" t="str">
        <f t="shared" si="2"/>
        <v/>
      </c>
      <c r="L5" s="16" t="str">
        <f t="shared" si="3"/>
        <v/>
      </c>
      <c r="M5" s="16" t="str">
        <f t="shared" si="4"/>
        <v/>
      </c>
      <c r="N5" s="17" t="str">
        <f>IF(K5="","",IF(COUNTIF(K4:K5,"FLAT")&gt;=8,"ACTIVATE","No: "&amp;COUNTIF(K4:K5,"FLAT")&amp;"/10"))</f>
        <v/>
      </c>
      <c r="O5" s="18"/>
    </row>
    <row r="6" spans="1:15" ht="18" customHeight="1" x14ac:dyDescent="0.25">
      <c r="A6" s="11">
        <v>3</v>
      </c>
      <c r="B6" s="12"/>
      <c r="C6" s="13"/>
      <c r="D6" s="13"/>
      <c r="E6" s="13"/>
      <c r="F6" s="13"/>
      <c r="G6" s="8" t="str">
        <f t="shared" si="0"/>
        <v/>
      </c>
      <c r="H6" s="8" t="str">
        <f t="shared" si="1"/>
        <v/>
      </c>
      <c r="I6" s="8" t="str">
        <f>IF(AND(C6&lt;&gt;"",Dashbord!$B$8&lt;&gt;""),ABS(C6-Dashbord!$B$8),"")</f>
        <v/>
      </c>
      <c r="J6" s="14"/>
      <c r="K6" s="15" t="str">
        <f t="shared" si="2"/>
        <v/>
      </c>
      <c r="L6" s="16" t="str">
        <f t="shared" si="3"/>
        <v/>
      </c>
      <c r="M6" s="16" t="str">
        <f t="shared" si="4"/>
        <v/>
      </c>
      <c r="N6" s="17" t="str">
        <f>IF(K6="","",IF(COUNTIF(K4:K6,"FLAT")&gt;=8,"ACTIVATE","No: "&amp;COUNTIF(K4:K6,"FLAT")&amp;"/10"))</f>
        <v/>
      </c>
      <c r="O6" s="18"/>
    </row>
    <row r="7" spans="1:15" ht="18" customHeight="1" x14ac:dyDescent="0.25">
      <c r="A7" s="11">
        <v>4</v>
      </c>
      <c r="B7" s="12"/>
      <c r="C7" s="13"/>
      <c r="D7" s="13"/>
      <c r="E7" s="13"/>
      <c r="F7" s="13"/>
      <c r="G7" s="8" t="str">
        <f t="shared" si="0"/>
        <v/>
      </c>
      <c r="H7" s="8" t="str">
        <f t="shared" si="1"/>
        <v/>
      </c>
      <c r="I7" s="8" t="str">
        <f>IF(AND(C7&lt;&gt;"",Dashbord!$B$8&lt;&gt;""),ABS(C7-Dashbord!$B$8),"")</f>
        <v/>
      </c>
      <c r="J7" s="14"/>
      <c r="K7" s="15" t="str">
        <f t="shared" si="2"/>
        <v/>
      </c>
      <c r="L7" s="16" t="str">
        <f t="shared" si="3"/>
        <v/>
      </c>
      <c r="M7" s="16" t="str">
        <f t="shared" si="4"/>
        <v/>
      </c>
      <c r="N7" s="17" t="str">
        <f>IF(K7="","",IF(COUNTIF(K4:K7,"FLAT")&gt;=8,"ACTIVATE","No: "&amp;COUNTIF(K4:K7,"FLAT")&amp;"/10"))</f>
        <v/>
      </c>
      <c r="O7" s="18"/>
    </row>
    <row r="8" spans="1:15" ht="18" customHeight="1" x14ac:dyDescent="0.25">
      <c r="A8" s="11">
        <v>5</v>
      </c>
      <c r="B8" s="12"/>
      <c r="C8" s="13"/>
      <c r="D8" s="13"/>
      <c r="E8" s="13"/>
      <c r="F8" s="13"/>
      <c r="G8" s="8" t="str">
        <f t="shared" si="0"/>
        <v/>
      </c>
      <c r="H8" s="8" t="str">
        <f t="shared" si="1"/>
        <v/>
      </c>
      <c r="I8" s="8" t="str">
        <f>IF(AND(C8&lt;&gt;"",Dashbord!$B$8&lt;&gt;""),ABS(C8-Dashbord!$B$8),"")</f>
        <v/>
      </c>
      <c r="J8" s="14"/>
      <c r="K8" s="15" t="str">
        <f t="shared" si="2"/>
        <v/>
      </c>
      <c r="L8" s="16" t="str">
        <f t="shared" si="3"/>
        <v/>
      </c>
      <c r="M8" s="16" t="str">
        <f t="shared" si="4"/>
        <v/>
      </c>
      <c r="N8" s="17" t="str">
        <f>IF(K8="","",IF(COUNTIF(K4:K8,"FLAT")&gt;=8,"ACTIVATE","No: "&amp;COUNTIF(K4:K8,"FLAT")&amp;"/10"))</f>
        <v/>
      </c>
      <c r="O8" s="18"/>
    </row>
    <row r="9" spans="1:15" ht="18" customHeight="1" x14ac:dyDescent="0.25">
      <c r="A9" s="11">
        <v>6</v>
      </c>
      <c r="B9" s="12"/>
      <c r="C9" s="13"/>
      <c r="D9" s="13"/>
      <c r="E9" s="13"/>
      <c r="F9" s="13"/>
      <c r="G9" s="8" t="str">
        <f t="shared" si="0"/>
        <v/>
      </c>
      <c r="H9" s="8" t="str">
        <f t="shared" si="1"/>
        <v/>
      </c>
      <c r="I9" s="8" t="str">
        <f>IF(AND(C9&lt;&gt;"",Dashbord!$B$8&lt;&gt;""),ABS(C9-Dashbord!$B$8),"")</f>
        <v/>
      </c>
      <c r="J9" s="14"/>
      <c r="K9" s="15" t="str">
        <f t="shared" si="2"/>
        <v/>
      </c>
      <c r="L9" s="16" t="str">
        <f t="shared" si="3"/>
        <v/>
      </c>
      <c r="M9" s="16" t="str">
        <f t="shared" si="4"/>
        <v/>
      </c>
      <c r="N9" s="17" t="str">
        <f>IF(K9="","",IF(COUNTIF(K4:K9,"FLAT")&gt;=8,"ACTIVATE","No: "&amp;COUNTIF(K4:K9,"FLAT")&amp;"/10"))</f>
        <v/>
      </c>
      <c r="O9" s="18"/>
    </row>
    <row r="10" spans="1:15" ht="18" customHeight="1" x14ac:dyDescent="0.25">
      <c r="A10" s="11">
        <v>7</v>
      </c>
      <c r="B10" s="12"/>
      <c r="C10" s="13"/>
      <c r="D10" s="13"/>
      <c r="E10" s="13"/>
      <c r="F10" s="13"/>
      <c r="G10" s="8" t="str">
        <f t="shared" si="0"/>
        <v/>
      </c>
      <c r="H10" s="8" t="str">
        <f t="shared" si="1"/>
        <v/>
      </c>
      <c r="I10" s="8" t="str">
        <f>IF(AND(C10&lt;&gt;"",Dashbord!$B$8&lt;&gt;""),ABS(C10-Dashbord!$B$8),"")</f>
        <v/>
      </c>
      <c r="J10" s="14"/>
      <c r="K10" s="15" t="str">
        <f t="shared" si="2"/>
        <v/>
      </c>
      <c r="L10" s="16" t="str">
        <f t="shared" si="3"/>
        <v/>
      </c>
      <c r="M10" s="16" t="str">
        <f t="shared" si="4"/>
        <v/>
      </c>
      <c r="N10" s="17" t="str">
        <f>IF(K10="","",IF(COUNTIF(K4:K10,"FLAT")&gt;=8,"ACTIVATE","No: "&amp;COUNTIF(K4:K10,"FLAT")&amp;"/10"))</f>
        <v/>
      </c>
      <c r="O10" s="18"/>
    </row>
    <row r="11" spans="1:15" ht="18" customHeight="1" x14ac:dyDescent="0.25">
      <c r="A11" s="11">
        <v>8</v>
      </c>
      <c r="B11" s="12"/>
      <c r="C11" s="13"/>
      <c r="D11" s="13"/>
      <c r="E11" s="13"/>
      <c r="F11" s="13"/>
      <c r="G11" s="8" t="str">
        <f t="shared" si="0"/>
        <v/>
      </c>
      <c r="H11" s="8" t="str">
        <f t="shared" si="1"/>
        <v/>
      </c>
      <c r="I11" s="8" t="str">
        <f>IF(AND(C11&lt;&gt;"",Dashbord!$B$8&lt;&gt;""),ABS(C11-Dashbord!$B$8),"")</f>
        <v/>
      </c>
      <c r="J11" s="14"/>
      <c r="K11" s="15" t="str">
        <f t="shared" si="2"/>
        <v/>
      </c>
      <c r="L11" s="16" t="str">
        <f t="shared" si="3"/>
        <v/>
      </c>
      <c r="M11" s="16" t="str">
        <f t="shared" si="4"/>
        <v/>
      </c>
      <c r="N11" s="17" t="str">
        <f>IF(K11="","",IF(COUNTIF(K4:K11,"FLAT")&gt;=8,"ACTIVATE","No: "&amp;COUNTIF(K4:K11,"FLAT")&amp;"/10"))</f>
        <v/>
      </c>
      <c r="O11" s="18"/>
    </row>
    <row r="12" spans="1:15" ht="18" customHeight="1" x14ac:dyDescent="0.25">
      <c r="A12" s="11">
        <v>9</v>
      </c>
      <c r="B12" s="12"/>
      <c r="C12" s="13"/>
      <c r="D12" s="13"/>
      <c r="E12" s="13"/>
      <c r="F12" s="13"/>
      <c r="G12" s="8" t="str">
        <f t="shared" si="0"/>
        <v/>
      </c>
      <c r="H12" s="8" t="str">
        <f t="shared" si="1"/>
        <v/>
      </c>
      <c r="I12" s="8" t="str">
        <f>IF(AND(C12&lt;&gt;"",Dashbord!$B$8&lt;&gt;""),ABS(C12-Dashbord!$B$8),"")</f>
        <v/>
      </c>
      <c r="J12" s="14"/>
      <c r="K12" s="15" t="str">
        <f t="shared" si="2"/>
        <v/>
      </c>
      <c r="L12" s="16" t="str">
        <f t="shared" si="3"/>
        <v/>
      </c>
      <c r="M12" s="16" t="str">
        <f t="shared" si="4"/>
        <v/>
      </c>
      <c r="N12" s="17" t="str">
        <f>IF(K12="","",IF(COUNTIF(K4:K12,"FLAT")&gt;=8,"ACTIVATE","No: "&amp;COUNTIF(K4:K12,"FLAT")&amp;"/10"))</f>
        <v/>
      </c>
      <c r="O12" s="18"/>
    </row>
    <row r="13" spans="1:15" ht="18" customHeight="1" x14ac:dyDescent="0.25">
      <c r="A13" s="11">
        <v>10</v>
      </c>
      <c r="B13" s="12"/>
      <c r="C13" s="13"/>
      <c r="D13" s="13"/>
      <c r="E13" s="13"/>
      <c r="F13" s="13"/>
      <c r="G13" s="8" t="str">
        <f t="shared" si="0"/>
        <v/>
      </c>
      <c r="H13" s="8" t="str">
        <f t="shared" si="1"/>
        <v/>
      </c>
      <c r="I13" s="8" t="str">
        <f>IF(AND(C13&lt;&gt;"",Dashbord!$B$8&lt;&gt;""),ABS(C13-Dashbord!$B$8),"")</f>
        <v/>
      </c>
      <c r="J13" s="14"/>
      <c r="K13" s="15" t="str">
        <f t="shared" si="2"/>
        <v/>
      </c>
      <c r="L13" s="16" t="str">
        <f t="shared" si="3"/>
        <v/>
      </c>
      <c r="M13" s="16" t="str">
        <f t="shared" si="4"/>
        <v/>
      </c>
      <c r="N13" s="17" t="str">
        <f t="shared" ref="N13:N44" si="5">IF(K13="","",IF(COUNTIF(K4:K13,"FLAT")&gt;=8,"ACTIVATE","No: "&amp;COUNTIF(K4:K13,"FLAT")&amp;"/10"))</f>
        <v/>
      </c>
      <c r="O13" s="18"/>
    </row>
    <row r="14" spans="1:15" ht="18" customHeight="1" x14ac:dyDescent="0.25">
      <c r="A14" s="11">
        <v>11</v>
      </c>
      <c r="B14" s="12"/>
      <c r="C14" s="13"/>
      <c r="D14" s="13"/>
      <c r="E14" s="13"/>
      <c r="F14" s="13"/>
      <c r="G14" s="8" t="str">
        <f t="shared" si="0"/>
        <v/>
      </c>
      <c r="H14" s="8" t="str">
        <f t="shared" si="1"/>
        <v/>
      </c>
      <c r="I14" s="8" t="str">
        <f>IF(AND(C14&lt;&gt;"",Dashbord!$B$8&lt;&gt;""),ABS(C14-Dashbord!$B$8),"")</f>
        <v/>
      </c>
      <c r="J14" s="14"/>
      <c r="K14" s="15" t="str">
        <f t="shared" si="2"/>
        <v/>
      </c>
      <c r="L14" s="16" t="str">
        <f t="shared" si="3"/>
        <v/>
      </c>
      <c r="M14" s="16" t="str">
        <f t="shared" si="4"/>
        <v/>
      </c>
      <c r="N14" s="17" t="str">
        <f t="shared" si="5"/>
        <v/>
      </c>
      <c r="O14" s="18"/>
    </row>
    <row r="15" spans="1:15" ht="18" customHeight="1" x14ac:dyDescent="0.25">
      <c r="A15" s="11">
        <v>12</v>
      </c>
      <c r="B15" s="12"/>
      <c r="C15" s="13"/>
      <c r="D15" s="13"/>
      <c r="E15" s="13"/>
      <c r="F15" s="13"/>
      <c r="G15" s="8" t="str">
        <f t="shared" si="0"/>
        <v/>
      </c>
      <c r="H15" s="8" t="str">
        <f t="shared" si="1"/>
        <v/>
      </c>
      <c r="I15" s="8" t="str">
        <f>IF(AND(C15&lt;&gt;"",Dashbord!$B$8&lt;&gt;""),ABS(C15-Dashbord!$B$8),"")</f>
        <v/>
      </c>
      <c r="J15" s="14"/>
      <c r="K15" s="15" t="str">
        <f t="shared" si="2"/>
        <v/>
      </c>
      <c r="L15" s="16" t="str">
        <f t="shared" si="3"/>
        <v/>
      </c>
      <c r="M15" s="16" t="str">
        <f t="shared" si="4"/>
        <v/>
      </c>
      <c r="N15" s="17" t="str">
        <f t="shared" si="5"/>
        <v/>
      </c>
      <c r="O15" s="18"/>
    </row>
    <row r="16" spans="1:15" ht="18" customHeight="1" x14ac:dyDescent="0.25">
      <c r="A16" s="11">
        <v>13</v>
      </c>
      <c r="B16" s="12"/>
      <c r="C16" s="13"/>
      <c r="D16" s="13"/>
      <c r="E16" s="13"/>
      <c r="F16" s="13"/>
      <c r="G16" s="8" t="str">
        <f t="shared" si="0"/>
        <v/>
      </c>
      <c r="H16" s="8" t="str">
        <f t="shared" si="1"/>
        <v/>
      </c>
      <c r="I16" s="8" t="str">
        <f>IF(AND(C16&lt;&gt;"",Dashbord!$B$8&lt;&gt;""),ABS(C16-Dashbord!$B$8),"")</f>
        <v/>
      </c>
      <c r="J16" s="14"/>
      <c r="K16" s="15" t="str">
        <f t="shared" si="2"/>
        <v/>
      </c>
      <c r="L16" s="16" t="str">
        <f t="shared" si="3"/>
        <v/>
      </c>
      <c r="M16" s="16" t="str">
        <f t="shared" si="4"/>
        <v/>
      </c>
      <c r="N16" s="17" t="str">
        <f t="shared" si="5"/>
        <v/>
      </c>
      <c r="O16" s="18"/>
    </row>
    <row r="17" spans="1:15" ht="18" customHeight="1" x14ac:dyDescent="0.25">
      <c r="A17" s="11">
        <v>14</v>
      </c>
      <c r="B17" s="12"/>
      <c r="C17" s="13"/>
      <c r="D17" s="13"/>
      <c r="E17" s="13"/>
      <c r="F17" s="13"/>
      <c r="G17" s="8" t="str">
        <f t="shared" si="0"/>
        <v/>
      </c>
      <c r="H17" s="8" t="str">
        <f t="shared" si="1"/>
        <v/>
      </c>
      <c r="I17" s="8" t="str">
        <f>IF(AND(C17&lt;&gt;"",Dashbord!$B$8&lt;&gt;""),ABS(C17-Dashbord!$B$8),"")</f>
        <v/>
      </c>
      <c r="J17" s="14"/>
      <c r="K17" s="15" t="str">
        <f t="shared" si="2"/>
        <v/>
      </c>
      <c r="L17" s="16" t="str">
        <f t="shared" si="3"/>
        <v/>
      </c>
      <c r="M17" s="16" t="str">
        <f t="shared" si="4"/>
        <v/>
      </c>
      <c r="N17" s="17" t="str">
        <f t="shared" si="5"/>
        <v/>
      </c>
      <c r="O17" s="18"/>
    </row>
    <row r="18" spans="1:15" ht="18" customHeight="1" x14ac:dyDescent="0.25">
      <c r="A18" s="11">
        <v>15</v>
      </c>
      <c r="B18" s="12"/>
      <c r="C18" s="13"/>
      <c r="D18" s="13"/>
      <c r="E18" s="13"/>
      <c r="F18" s="13"/>
      <c r="G18" s="8" t="str">
        <f t="shared" si="0"/>
        <v/>
      </c>
      <c r="H18" s="8" t="str">
        <f t="shared" si="1"/>
        <v/>
      </c>
      <c r="I18" s="8" t="str">
        <f>IF(AND(C18&lt;&gt;"",Dashbord!$B$8&lt;&gt;""),ABS(C18-Dashbord!$B$8),"")</f>
        <v/>
      </c>
      <c r="J18" s="14"/>
      <c r="K18" s="15" t="str">
        <f t="shared" si="2"/>
        <v/>
      </c>
      <c r="L18" s="16" t="str">
        <f t="shared" si="3"/>
        <v/>
      </c>
      <c r="M18" s="16" t="str">
        <f t="shared" si="4"/>
        <v/>
      </c>
      <c r="N18" s="17" t="str">
        <f t="shared" si="5"/>
        <v/>
      </c>
      <c r="O18" s="18"/>
    </row>
    <row r="19" spans="1:15" ht="18" customHeight="1" x14ac:dyDescent="0.25">
      <c r="A19" s="11">
        <v>16</v>
      </c>
      <c r="B19" s="12"/>
      <c r="C19" s="13"/>
      <c r="D19" s="13"/>
      <c r="E19" s="13"/>
      <c r="F19" s="13"/>
      <c r="G19" s="8" t="str">
        <f t="shared" si="0"/>
        <v/>
      </c>
      <c r="H19" s="8" t="str">
        <f t="shared" si="1"/>
        <v/>
      </c>
      <c r="I19" s="8" t="str">
        <f>IF(AND(C19&lt;&gt;"",Dashbord!$B$8&lt;&gt;""),ABS(C19-Dashbord!$B$8),"")</f>
        <v/>
      </c>
      <c r="J19" s="14"/>
      <c r="K19" s="15" t="str">
        <f t="shared" si="2"/>
        <v/>
      </c>
      <c r="L19" s="16" t="str">
        <f t="shared" si="3"/>
        <v/>
      </c>
      <c r="M19" s="16" t="str">
        <f t="shared" si="4"/>
        <v/>
      </c>
      <c r="N19" s="17" t="str">
        <f t="shared" si="5"/>
        <v/>
      </c>
      <c r="O19" s="18"/>
    </row>
    <row r="20" spans="1:15" ht="18" customHeight="1" x14ac:dyDescent="0.25">
      <c r="A20" s="11">
        <v>17</v>
      </c>
      <c r="B20" s="12"/>
      <c r="C20" s="13"/>
      <c r="D20" s="13"/>
      <c r="E20" s="13"/>
      <c r="F20" s="13"/>
      <c r="G20" s="8" t="str">
        <f t="shared" si="0"/>
        <v/>
      </c>
      <c r="H20" s="8" t="str">
        <f t="shared" si="1"/>
        <v/>
      </c>
      <c r="I20" s="8" t="str">
        <f>IF(AND(C20&lt;&gt;"",Dashbord!$B$8&lt;&gt;""),ABS(C20-Dashbord!$B$8),"")</f>
        <v/>
      </c>
      <c r="J20" s="14"/>
      <c r="K20" s="15" t="str">
        <f t="shared" si="2"/>
        <v/>
      </c>
      <c r="L20" s="16" t="str">
        <f t="shared" si="3"/>
        <v/>
      </c>
      <c r="M20" s="16" t="str">
        <f t="shared" si="4"/>
        <v/>
      </c>
      <c r="N20" s="17" t="str">
        <f t="shared" si="5"/>
        <v/>
      </c>
      <c r="O20" s="18"/>
    </row>
    <row r="21" spans="1:15" ht="18" customHeight="1" x14ac:dyDescent="0.25">
      <c r="A21" s="11">
        <v>18</v>
      </c>
      <c r="B21" s="12"/>
      <c r="C21" s="13"/>
      <c r="D21" s="13"/>
      <c r="E21" s="13"/>
      <c r="F21" s="13"/>
      <c r="G21" s="8" t="str">
        <f t="shared" si="0"/>
        <v/>
      </c>
      <c r="H21" s="8" t="str">
        <f t="shared" si="1"/>
        <v/>
      </c>
      <c r="I21" s="8" t="str">
        <f>IF(AND(C21&lt;&gt;"",Dashbord!$B$8&lt;&gt;""),ABS(C21-Dashbord!$B$8),"")</f>
        <v/>
      </c>
      <c r="J21" s="14"/>
      <c r="K21" s="15" t="str">
        <f t="shared" si="2"/>
        <v/>
      </c>
      <c r="L21" s="16" t="str">
        <f t="shared" si="3"/>
        <v/>
      </c>
      <c r="M21" s="16" t="str">
        <f t="shared" si="4"/>
        <v/>
      </c>
      <c r="N21" s="17" t="str">
        <f t="shared" si="5"/>
        <v/>
      </c>
      <c r="O21" s="18"/>
    </row>
    <row r="22" spans="1:15" ht="18" customHeight="1" x14ac:dyDescent="0.25">
      <c r="A22" s="11">
        <v>19</v>
      </c>
      <c r="B22" s="12"/>
      <c r="C22" s="13"/>
      <c r="D22" s="13"/>
      <c r="E22" s="13"/>
      <c r="F22" s="13"/>
      <c r="G22" s="8" t="str">
        <f t="shared" si="0"/>
        <v/>
      </c>
      <c r="H22" s="8" t="str">
        <f t="shared" si="1"/>
        <v/>
      </c>
      <c r="I22" s="8" t="str">
        <f>IF(AND(C22&lt;&gt;"",Dashbord!$B$8&lt;&gt;""),ABS(C22-Dashbord!$B$8),"")</f>
        <v/>
      </c>
      <c r="J22" s="14"/>
      <c r="K22" s="15" t="str">
        <f t="shared" si="2"/>
        <v/>
      </c>
      <c r="L22" s="16" t="str">
        <f t="shared" si="3"/>
        <v/>
      </c>
      <c r="M22" s="16" t="str">
        <f t="shared" si="4"/>
        <v/>
      </c>
      <c r="N22" s="17" t="str">
        <f t="shared" si="5"/>
        <v/>
      </c>
      <c r="O22" s="18"/>
    </row>
    <row r="23" spans="1:15" ht="18" customHeight="1" x14ac:dyDescent="0.25">
      <c r="A23" s="11">
        <v>20</v>
      </c>
      <c r="B23" s="12"/>
      <c r="C23" s="13"/>
      <c r="D23" s="13"/>
      <c r="E23" s="13"/>
      <c r="F23" s="13"/>
      <c r="G23" s="8" t="str">
        <f t="shared" si="0"/>
        <v/>
      </c>
      <c r="H23" s="8" t="str">
        <f t="shared" si="1"/>
        <v/>
      </c>
      <c r="I23" s="8" t="str">
        <f>IF(AND(C23&lt;&gt;"",Dashbord!$B$8&lt;&gt;""),ABS(C23-Dashbord!$B$8),"")</f>
        <v/>
      </c>
      <c r="J23" s="14"/>
      <c r="K23" s="15" t="str">
        <f t="shared" si="2"/>
        <v/>
      </c>
      <c r="L23" s="16" t="str">
        <f t="shared" si="3"/>
        <v/>
      </c>
      <c r="M23" s="16" t="str">
        <f t="shared" si="4"/>
        <v/>
      </c>
      <c r="N23" s="17" t="str">
        <f t="shared" si="5"/>
        <v/>
      </c>
      <c r="O23" s="18"/>
    </row>
    <row r="24" spans="1:15" ht="18" customHeight="1" x14ac:dyDescent="0.25">
      <c r="A24" s="11">
        <v>21</v>
      </c>
      <c r="B24" s="12"/>
      <c r="C24" s="13"/>
      <c r="D24" s="13"/>
      <c r="E24" s="13"/>
      <c r="F24" s="13"/>
      <c r="G24" s="8" t="str">
        <f t="shared" si="0"/>
        <v/>
      </c>
      <c r="H24" s="8" t="str">
        <f t="shared" si="1"/>
        <v/>
      </c>
      <c r="I24" s="8" t="str">
        <f>IF(AND(C24&lt;&gt;"",Dashbord!$B$8&lt;&gt;""),ABS(C24-Dashbord!$B$8),"")</f>
        <v/>
      </c>
      <c r="J24" s="14"/>
      <c r="K24" s="15" t="str">
        <f t="shared" si="2"/>
        <v/>
      </c>
      <c r="L24" s="16" t="str">
        <f t="shared" si="3"/>
        <v/>
      </c>
      <c r="M24" s="16" t="str">
        <f t="shared" si="4"/>
        <v/>
      </c>
      <c r="N24" s="17" t="str">
        <f t="shared" si="5"/>
        <v/>
      </c>
      <c r="O24" s="18"/>
    </row>
    <row r="25" spans="1:15" ht="18" customHeight="1" x14ac:dyDescent="0.25">
      <c r="A25" s="11">
        <v>22</v>
      </c>
      <c r="B25" s="12"/>
      <c r="C25" s="13"/>
      <c r="D25" s="13"/>
      <c r="E25" s="13"/>
      <c r="F25" s="13"/>
      <c r="G25" s="8" t="str">
        <f t="shared" si="0"/>
        <v/>
      </c>
      <c r="H25" s="8" t="str">
        <f t="shared" si="1"/>
        <v/>
      </c>
      <c r="I25" s="8" t="str">
        <f>IF(AND(C25&lt;&gt;"",Dashbord!$B$8&lt;&gt;""),ABS(C25-Dashbord!$B$8),"")</f>
        <v/>
      </c>
      <c r="J25" s="14"/>
      <c r="K25" s="15" t="str">
        <f t="shared" si="2"/>
        <v/>
      </c>
      <c r="L25" s="16" t="str">
        <f t="shared" si="3"/>
        <v/>
      </c>
      <c r="M25" s="16" t="str">
        <f t="shared" si="4"/>
        <v/>
      </c>
      <c r="N25" s="17" t="str">
        <f t="shared" si="5"/>
        <v/>
      </c>
      <c r="O25" s="18"/>
    </row>
    <row r="26" spans="1:15" ht="18" customHeight="1" x14ac:dyDescent="0.25">
      <c r="A26" s="11">
        <v>23</v>
      </c>
      <c r="B26" s="12"/>
      <c r="C26" s="13"/>
      <c r="D26" s="13"/>
      <c r="E26" s="13"/>
      <c r="F26" s="13"/>
      <c r="G26" s="8" t="str">
        <f t="shared" si="0"/>
        <v/>
      </c>
      <c r="H26" s="8" t="str">
        <f t="shared" si="1"/>
        <v/>
      </c>
      <c r="I26" s="8" t="str">
        <f>IF(AND(C26&lt;&gt;"",Dashbord!$B$8&lt;&gt;""),ABS(C26-Dashbord!$B$8),"")</f>
        <v/>
      </c>
      <c r="J26" s="14"/>
      <c r="K26" s="15" t="str">
        <f t="shared" si="2"/>
        <v/>
      </c>
      <c r="L26" s="16" t="str">
        <f t="shared" si="3"/>
        <v/>
      </c>
      <c r="M26" s="16" t="str">
        <f t="shared" si="4"/>
        <v/>
      </c>
      <c r="N26" s="17" t="str">
        <f t="shared" si="5"/>
        <v/>
      </c>
      <c r="O26" s="18"/>
    </row>
    <row r="27" spans="1:15" ht="18" customHeight="1" x14ac:dyDescent="0.25">
      <c r="A27" s="11">
        <v>24</v>
      </c>
      <c r="B27" s="12"/>
      <c r="C27" s="13"/>
      <c r="D27" s="13"/>
      <c r="E27" s="13"/>
      <c r="F27" s="13"/>
      <c r="G27" s="8" t="str">
        <f t="shared" si="0"/>
        <v/>
      </c>
      <c r="H27" s="8" t="str">
        <f t="shared" si="1"/>
        <v/>
      </c>
      <c r="I27" s="8" t="str">
        <f>IF(AND(C27&lt;&gt;"",Dashbord!$B$8&lt;&gt;""),ABS(C27-Dashbord!$B$8),"")</f>
        <v/>
      </c>
      <c r="J27" s="14"/>
      <c r="K27" s="15" t="str">
        <f t="shared" si="2"/>
        <v/>
      </c>
      <c r="L27" s="16" t="str">
        <f t="shared" si="3"/>
        <v/>
      </c>
      <c r="M27" s="16" t="str">
        <f t="shared" si="4"/>
        <v/>
      </c>
      <c r="N27" s="17" t="str">
        <f t="shared" si="5"/>
        <v/>
      </c>
      <c r="O27" s="18"/>
    </row>
    <row r="28" spans="1:15" ht="18" customHeight="1" x14ac:dyDescent="0.25">
      <c r="A28" s="11">
        <v>25</v>
      </c>
      <c r="B28" s="12"/>
      <c r="C28" s="13"/>
      <c r="D28" s="13"/>
      <c r="E28" s="13"/>
      <c r="F28" s="13"/>
      <c r="G28" s="8" t="str">
        <f t="shared" si="0"/>
        <v/>
      </c>
      <c r="H28" s="8" t="str">
        <f t="shared" si="1"/>
        <v/>
      </c>
      <c r="I28" s="8" t="str">
        <f>IF(AND(C28&lt;&gt;"",Dashbord!$B$8&lt;&gt;""),ABS(C28-Dashbord!$B$8),"")</f>
        <v/>
      </c>
      <c r="J28" s="14"/>
      <c r="K28" s="15" t="str">
        <f t="shared" si="2"/>
        <v/>
      </c>
      <c r="L28" s="16" t="str">
        <f t="shared" si="3"/>
        <v/>
      </c>
      <c r="M28" s="16" t="str">
        <f t="shared" si="4"/>
        <v/>
      </c>
      <c r="N28" s="17" t="str">
        <f t="shared" si="5"/>
        <v/>
      </c>
      <c r="O28" s="18"/>
    </row>
    <row r="29" spans="1:15" ht="18" customHeight="1" x14ac:dyDescent="0.25">
      <c r="A29" s="11">
        <v>26</v>
      </c>
      <c r="B29" s="12"/>
      <c r="C29" s="13"/>
      <c r="D29" s="13"/>
      <c r="E29" s="13"/>
      <c r="F29" s="13"/>
      <c r="G29" s="8" t="str">
        <f t="shared" si="0"/>
        <v/>
      </c>
      <c r="H29" s="8" t="str">
        <f t="shared" si="1"/>
        <v/>
      </c>
      <c r="I29" s="8" t="str">
        <f>IF(AND(C29&lt;&gt;"",Dashbord!$B$8&lt;&gt;""),ABS(C29-Dashbord!$B$8),"")</f>
        <v/>
      </c>
      <c r="J29" s="14"/>
      <c r="K29" s="15" t="str">
        <f t="shared" si="2"/>
        <v/>
      </c>
      <c r="L29" s="16" t="str">
        <f t="shared" si="3"/>
        <v/>
      </c>
      <c r="M29" s="16" t="str">
        <f t="shared" si="4"/>
        <v/>
      </c>
      <c r="N29" s="17" t="str">
        <f t="shared" si="5"/>
        <v/>
      </c>
      <c r="O29" s="18"/>
    </row>
    <row r="30" spans="1:15" ht="18" customHeight="1" x14ac:dyDescent="0.25">
      <c r="A30" s="11">
        <v>27</v>
      </c>
      <c r="B30" s="12"/>
      <c r="C30" s="13"/>
      <c r="D30" s="13"/>
      <c r="E30" s="13"/>
      <c r="F30" s="13"/>
      <c r="G30" s="8" t="str">
        <f t="shared" si="0"/>
        <v/>
      </c>
      <c r="H30" s="8" t="str">
        <f t="shared" si="1"/>
        <v/>
      </c>
      <c r="I30" s="8" t="str">
        <f>IF(AND(C30&lt;&gt;"",Dashbord!$B$8&lt;&gt;""),ABS(C30-Dashbord!$B$8),"")</f>
        <v/>
      </c>
      <c r="J30" s="14"/>
      <c r="K30" s="15" t="str">
        <f t="shared" si="2"/>
        <v/>
      </c>
      <c r="L30" s="16" t="str">
        <f t="shared" si="3"/>
        <v/>
      </c>
      <c r="M30" s="16" t="str">
        <f t="shared" si="4"/>
        <v/>
      </c>
      <c r="N30" s="17" t="str">
        <f t="shared" si="5"/>
        <v/>
      </c>
      <c r="O30" s="18"/>
    </row>
    <row r="31" spans="1:15" ht="18" customHeight="1" x14ac:dyDescent="0.25">
      <c r="A31" s="11">
        <v>28</v>
      </c>
      <c r="B31" s="12"/>
      <c r="C31" s="13"/>
      <c r="D31" s="13"/>
      <c r="E31" s="13"/>
      <c r="F31" s="13"/>
      <c r="G31" s="8" t="str">
        <f t="shared" si="0"/>
        <v/>
      </c>
      <c r="H31" s="8" t="str">
        <f t="shared" si="1"/>
        <v/>
      </c>
      <c r="I31" s="8" t="str">
        <f>IF(AND(C31&lt;&gt;"",Dashbord!$B$8&lt;&gt;""),ABS(C31-Dashbord!$B$8),"")</f>
        <v/>
      </c>
      <c r="J31" s="14"/>
      <c r="K31" s="15" t="str">
        <f t="shared" si="2"/>
        <v/>
      </c>
      <c r="L31" s="16" t="str">
        <f t="shared" si="3"/>
        <v/>
      </c>
      <c r="M31" s="16" t="str">
        <f t="shared" si="4"/>
        <v/>
      </c>
      <c r="N31" s="17" t="str">
        <f t="shared" si="5"/>
        <v/>
      </c>
      <c r="O31" s="18"/>
    </row>
    <row r="32" spans="1:15" ht="18" customHeight="1" x14ac:dyDescent="0.25">
      <c r="A32" s="11">
        <v>29</v>
      </c>
      <c r="B32" s="12"/>
      <c r="C32" s="13"/>
      <c r="D32" s="13"/>
      <c r="E32" s="13"/>
      <c r="F32" s="13"/>
      <c r="G32" s="8" t="str">
        <f t="shared" si="0"/>
        <v/>
      </c>
      <c r="H32" s="8" t="str">
        <f t="shared" si="1"/>
        <v/>
      </c>
      <c r="I32" s="8" t="str">
        <f>IF(AND(C32&lt;&gt;"",Dashbord!$B$8&lt;&gt;""),ABS(C32-Dashbord!$B$8),"")</f>
        <v/>
      </c>
      <c r="J32" s="14"/>
      <c r="K32" s="15" t="str">
        <f t="shared" si="2"/>
        <v/>
      </c>
      <c r="L32" s="16" t="str">
        <f t="shared" si="3"/>
        <v/>
      </c>
      <c r="M32" s="16" t="str">
        <f t="shared" si="4"/>
        <v/>
      </c>
      <c r="N32" s="17" t="str">
        <f t="shared" si="5"/>
        <v/>
      </c>
      <c r="O32" s="18"/>
    </row>
    <row r="33" spans="1:15" ht="18" customHeight="1" x14ac:dyDescent="0.25">
      <c r="A33" s="11">
        <v>30</v>
      </c>
      <c r="B33" s="12"/>
      <c r="C33" s="13"/>
      <c r="D33" s="13"/>
      <c r="E33" s="13"/>
      <c r="F33" s="13"/>
      <c r="G33" s="8" t="str">
        <f t="shared" si="0"/>
        <v/>
      </c>
      <c r="H33" s="8" t="str">
        <f t="shared" si="1"/>
        <v/>
      </c>
      <c r="I33" s="8" t="str">
        <f>IF(AND(C33&lt;&gt;"",Dashbord!$B$8&lt;&gt;""),ABS(C33-Dashbord!$B$8),"")</f>
        <v/>
      </c>
      <c r="J33" s="14"/>
      <c r="K33" s="15" t="str">
        <f t="shared" si="2"/>
        <v/>
      </c>
      <c r="L33" s="16" t="str">
        <f t="shared" si="3"/>
        <v/>
      </c>
      <c r="M33" s="16" t="str">
        <f t="shared" si="4"/>
        <v/>
      </c>
      <c r="N33" s="17" t="str">
        <f t="shared" si="5"/>
        <v/>
      </c>
      <c r="O33" s="18"/>
    </row>
    <row r="34" spans="1:15" ht="18" customHeight="1" x14ac:dyDescent="0.25">
      <c r="A34" s="11">
        <v>31</v>
      </c>
      <c r="B34" s="12"/>
      <c r="C34" s="13"/>
      <c r="D34" s="13"/>
      <c r="E34" s="13"/>
      <c r="F34" s="13"/>
      <c r="G34" s="8" t="str">
        <f t="shared" si="0"/>
        <v/>
      </c>
      <c r="H34" s="8" t="str">
        <f t="shared" si="1"/>
        <v/>
      </c>
      <c r="I34" s="8" t="str">
        <f>IF(AND(C34&lt;&gt;"",Dashbord!$B$8&lt;&gt;""),ABS(C34-Dashbord!$B$8),"")</f>
        <v/>
      </c>
      <c r="J34" s="14"/>
      <c r="K34" s="15" t="str">
        <f t="shared" si="2"/>
        <v/>
      </c>
      <c r="L34" s="16" t="str">
        <f t="shared" si="3"/>
        <v/>
      </c>
      <c r="M34" s="16" t="str">
        <f t="shared" si="4"/>
        <v/>
      </c>
      <c r="N34" s="17" t="str">
        <f t="shared" si="5"/>
        <v/>
      </c>
      <c r="O34" s="18"/>
    </row>
    <row r="35" spans="1:15" ht="18" customHeight="1" x14ac:dyDescent="0.25">
      <c r="A35" s="11">
        <v>32</v>
      </c>
      <c r="B35" s="12"/>
      <c r="C35" s="13"/>
      <c r="D35" s="13"/>
      <c r="E35" s="13"/>
      <c r="F35" s="13"/>
      <c r="G35" s="8" t="str">
        <f t="shared" si="0"/>
        <v/>
      </c>
      <c r="H35" s="8" t="str">
        <f t="shared" si="1"/>
        <v/>
      </c>
      <c r="I35" s="8" t="str">
        <f>IF(AND(C35&lt;&gt;"",Dashbord!$B$8&lt;&gt;""),ABS(C35-Dashbord!$B$8),"")</f>
        <v/>
      </c>
      <c r="J35" s="14"/>
      <c r="K35" s="15" t="str">
        <f t="shared" si="2"/>
        <v/>
      </c>
      <c r="L35" s="16" t="str">
        <f t="shared" si="3"/>
        <v/>
      </c>
      <c r="M35" s="16" t="str">
        <f t="shared" si="4"/>
        <v/>
      </c>
      <c r="N35" s="17" t="str">
        <f t="shared" si="5"/>
        <v/>
      </c>
      <c r="O35" s="18"/>
    </row>
    <row r="36" spans="1:15" ht="18" customHeight="1" x14ac:dyDescent="0.25">
      <c r="A36" s="11">
        <v>33</v>
      </c>
      <c r="B36" s="12"/>
      <c r="C36" s="13"/>
      <c r="D36" s="13"/>
      <c r="E36" s="13"/>
      <c r="F36" s="13"/>
      <c r="G36" s="8" t="str">
        <f t="shared" ref="G36:G63" si="6">IF(AND(D36&lt;&gt;"",E36&lt;&gt;""),D36-E36,"")</f>
        <v/>
      </c>
      <c r="H36" s="8" t="str">
        <f t="shared" ref="H36:H63" si="7">IF(AND(C36&lt;&gt;"",F36&lt;&gt;""),C36-F36,"")</f>
        <v/>
      </c>
      <c r="I36" s="8" t="str">
        <f>IF(AND(C36&lt;&gt;"",Dashbord!$B$8&lt;&gt;""),ABS(C36-Dashbord!$B$8),"")</f>
        <v/>
      </c>
      <c r="J36" s="14"/>
      <c r="K36" s="15" t="str">
        <f t="shared" ref="K36:K63" si="8">IF(G36="","",IF(AND(G36&lt;6,ABS(H36)&lt;3,I36&lt;3),"FLAT",IF(OR(G36&gt;10,ABS(H36)&gt;6),IF(H36&gt;0,"TREND UP","TREND DOWN"),"WAIT")))</f>
        <v/>
      </c>
      <c r="L36" s="16" t="str">
        <f t="shared" ref="L36:L63" si="9">IF(K36="","",IF(K36="FLAT","YES",IF(K36="TREND UP","NO","WAIT")))</f>
        <v/>
      </c>
      <c r="M36" s="16" t="str">
        <f t="shared" ref="M36:M63" si="10">IF(K36="","",IF(K36="TREND DOWN","NO",IF(K36="FLAT","YES","WAIT")))</f>
        <v/>
      </c>
      <c r="N36" s="17" t="str">
        <f t="shared" si="5"/>
        <v/>
      </c>
      <c r="O36" s="18"/>
    </row>
    <row r="37" spans="1:15" ht="18" customHeight="1" x14ac:dyDescent="0.25">
      <c r="A37" s="11">
        <v>34</v>
      </c>
      <c r="B37" s="12"/>
      <c r="C37" s="13"/>
      <c r="D37" s="13"/>
      <c r="E37" s="13"/>
      <c r="F37" s="13"/>
      <c r="G37" s="8" t="str">
        <f t="shared" si="6"/>
        <v/>
      </c>
      <c r="H37" s="8" t="str">
        <f t="shared" si="7"/>
        <v/>
      </c>
      <c r="I37" s="8" t="str">
        <f>IF(AND(C37&lt;&gt;"",Dashbord!$B$8&lt;&gt;""),ABS(C37-Dashbord!$B$8),"")</f>
        <v/>
      </c>
      <c r="J37" s="14"/>
      <c r="K37" s="15" t="str">
        <f t="shared" si="8"/>
        <v/>
      </c>
      <c r="L37" s="16" t="str">
        <f t="shared" si="9"/>
        <v/>
      </c>
      <c r="M37" s="16" t="str">
        <f t="shared" si="10"/>
        <v/>
      </c>
      <c r="N37" s="17" t="str">
        <f t="shared" si="5"/>
        <v/>
      </c>
      <c r="O37" s="18"/>
    </row>
    <row r="38" spans="1:15" ht="18" customHeight="1" x14ac:dyDescent="0.25">
      <c r="A38" s="11">
        <v>35</v>
      </c>
      <c r="B38" s="12"/>
      <c r="C38" s="13"/>
      <c r="D38" s="13"/>
      <c r="E38" s="13"/>
      <c r="F38" s="13"/>
      <c r="G38" s="8" t="str">
        <f t="shared" si="6"/>
        <v/>
      </c>
      <c r="H38" s="8" t="str">
        <f t="shared" si="7"/>
        <v/>
      </c>
      <c r="I38" s="8" t="str">
        <f>IF(AND(C38&lt;&gt;"",Dashbord!$B$8&lt;&gt;""),ABS(C38-Dashbord!$B$8),"")</f>
        <v/>
      </c>
      <c r="J38" s="14"/>
      <c r="K38" s="15" t="str">
        <f t="shared" si="8"/>
        <v/>
      </c>
      <c r="L38" s="16" t="str">
        <f t="shared" si="9"/>
        <v/>
      </c>
      <c r="M38" s="16" t="str">
        <f t="shared" si="10"/>
        <v/>
      </c>
      <c r="N38" s="17" t="str">
        <f t="shared" si="5"/>
        <v/>
      </c>
      <c r="O38" s="18"/>
    </row>
    <row r="39" spans="1:15" ht="18" customHeight="1" x14ac:dyDescent="0.25">
      <c r="A39" s="11">
        <v>36</v>
      </c>
      <c r="B39" s="12"/>
      <c r="C39" s="13"/>
      <c r="D39" s="13"/>
      <c r="E39" s="13"/>
      <c r="F39" s="13"/>
      <c r="G39" s="8" t="str">
        <f t="shared" si="6"/>
        <v/>
      </c>
      <c r="H39" s="8" t="str">
        <f t="shared" si="7"/>
        <v/>
      </c>
      <c r="I39" s="8" t="str">
        <f>IF(AND(C39&lt;&gt;"",Dashbord!$B$8&lt;&gt;""),ABS(C39-Dashbord!$B$8),"")</f>
        <v/>
      </c>
      <c r="J39" s="14"/>
      <c r="K39" s="15" t="str">
        <f t="shared" si="8"/>
        <v/>
      </c>
      <c r="L39" s="16" t="str">
        <f t="shared" si="9"/>
        <v/>
      </c>
      <c r="M39" s="16" t="str">
        <f t="shared" si="10"/>
        <v/>
      </c>
      <c r="N39" s="17" t="str">
        <f t="shared" si="5"/>
        <v/>
      </c>
      <c r="O39" s="18"/>
    </row>
    <row r="40" spans="1:15" ht="18" customHeight="1" x14ac:dyDescent="0.25">
      <c r="A40" s="11">
        <v>37</v>
      </c>
      <c r="B40" s="12"/>
      <c r="C40" s="13"/>
      <c r="D40" s="13"/>
      <c r="E40" s="13"/>
      <c r="F40" s="13"/>
      <c r="G40" s="8" t="str">
        <f t="shared" si="6"/>
        <v/>
      </c>
      <c r="H40" s="8" t="str">
        <f t="shared" si="7"/>
        <v/>
      </c>
      <c r="I40" s="8" t="str">
        <f>IF(AND(C40&lt;&gt;"",Dashbord!$B$8&lt;&gt;""),ABS(C40-Dashbord!$B$8),"")</f>
        <v/>
      </c>
      <c r="J40" s="14"/>
      <c r="K40" s="15" t="str">
        <f t="shared" si="8"/>
        <v/>
      </c>
      <c r="L40" s="16" t="str">
        <f t="shared" si="9"/>
        <v/>
      </c>
      <c r="M40" s="16" t="str">
        <f t="shared" si="10"/>
        <v/>
      </c>
      <c r="N40" s="17" t="str">
        <f t="shared" si="5"/>
        <v/>
      </c>
      <c r="O40" s="18"/>
    </row>
    <row r="41" spans="1:15" ht="18" customHeight="1" x14ac:dyDescent="0.25">
      <c r="A41" s="11">
        <v>38</v>
      </c>
      <c r="B41" s="12"/>
      <c r="C41" s="13"/>
      <c r="D41" s="13"/>
      <c r="E41" s="13"/>
      <c r="F41" s="13"/>
      <c r="G41" s="8" t="str">
        <f t="shared" si="6"/>
        <v/>
      </c>
      <c r="H41" s="8" t="str">
        <f t="shared" si="7"/>
        <v/>
      </c>
      <c r="I41" s="8" t="str">
        <f>IF(AND(C41&lt;&gt;"",Dashbord!$B$8&lt;&gt;""),ABS(C41-Dashbord!$B$8),"")</f>
        <v/>
      </c>
      <c r="J41" s="14"/>
      <c r="K41" s="15" t="str">
        <f t="shared" si="8"/>
        <v/>
      </c>
      <c r="L41" s="16" t="str">
        <f t="shared" si="9"/>
        <v/>
      </c>
      <c r="M41" s="16" t="str">
        <f t="shared" si="10"/>
        <v/>
      </c>
      <c r="N41" s="17" t="str">
        <f t="shared" si="5"/>
        <v/>
      </c>
      <c r="O41" s="18"/>
    </row>
    <row r="42" spans="1:15" ht="18" customHeight="1" x14ac:dyDescent="0.25">
      <c r="A42" s="11">
        <v>39</v>
      </c>
      <c r="B42" s="12"/>
      <c r="C42" s="13"/>
      <c r="D42" s="13"/>
      <c r="E42" s="13"/>
      <c r="F42" s="13"/>
      <c r="G42" s="8" t="str">
        <f t="shared" si="6"/>
        <v/>
      </c>
      <c r="H42" s="8" t="str">
        <f t="shared" si="7"/>
        <v/>
      </c>
      <c r="I42" s="8" t="str">
        <f>IF(AND(C42&lt;&gt;"",Dashbord!$B$8&lt;&gt;""),ABS(C42-Dashbord!$B$8),"")</f>
        <v/>
      </c>
      <c r="J42" s="14"/>
      <c r="K42" s="15" t="str">
        <f t="shared" si="8"/>
        <v/>
      </c>
      <c r="L42" s="16" t="str">
        <f t="shared" si="9"/>
        <v/>
      </c>
      <c r="M42" s="16" t="str">
        <f t="shared" si="10"/>
        <v/>
      </c>
      <c r="N42" s="17" t="str">
        <f t="shared" si="5"/>
        <v/>
      </c>
      <c r="O42" s="18"/>
    </row>
    <row r="43" spans="1:15" ht="18" customHeight="1" x14ac:dyDescent="0.25">
      <c r="A43" s="11">
        <v>40</v>
      </c>
      <c r="B43" s="12"/>
      <c r="C43" s="13"/>
      <c r="D43" s="13"/>
      <c r="E43" s="13"/>
      <c r="F43" s="13"/>
      <c r="G43" s="8" t="str">
        <f t="shared" si="6"/>
        <v/>
      </c>
      <c r="H43" s="8" t="str">
        <f t="shared" si="7"/>
        <v/>
      </c>
      <c r="I43" s="8" t="str">
        <f>IF(AND(C43&lt;&gt;"",Dashbord!$B$8&lt;&gt;""),ABS(C43-Dashbord!$B$8),"")</f>
        <v/>
      </c>
      <c r="J43" s="14"/>
      <c r="K43" s="15" t="str">
        <f t="shared" si="8"/>
        <v/>
      </c>
      <c r="L43" s="16" t="str">
        <f t="shared" si="9"/>
        <v/>
      </c>
      <c r="M43" s="16" t="str">
        <f t="shared" si="10"/>
        <v/>
      </c>
      <c r="N43" s="17" t="str">
        <f t="shared" si="5"/>
        <v/>
      </c>
      <c r="O43" s="18"/>
    </row>
    <row r="44" spans="1:15" ht="18" customHeight="1" x14ac:dyDescent="0.25">
      <c r="A44" s="11">
        <v>41</v>
      </c>
      <c r="B44" s="12"/>
      <c r="C44" s="13"/>
      <c r="D44" s="13"/>
      <c r="E44" s="13"/>
      <c r="F44" s="13"/>
      <c r="G44" s="8" t="str">
        <f t="shared" si="6"/>
        <v/>
      </c>
      <c r="H44" s="8" t="str">
        <f t="shared" si="7"/>
        <v/>
      </c>
      <c r="I44" s="8" t="str">
        <f>IF(AND(C44&lt;&gt;"",Dashbord!$B$8&lt;&gt;""),ABS(C44-Dashbord!$B$8),"")</f>
        <v/>
      </c>
      <c r="J44" s="14"/>
      <c r="K44" s="15" t="str">
        <f t="shared" si="8"/>
        <v/>
      </c>
      <c r="L44" s="16" t="str">
        <f t="shared" si="9"/>
        <v/>
      </c>
      <c r="M44" s="16" t="str">
        <f t="shared" si="10"/>
        <v/>
      </c>
      <c r="N44" s="17" t="str">
        <f t="shared" si="5"/>
        <v/>
      </c>
      <c r="O44" s="18"/>
    </row>
    <row r="45" spans="1:15" ht="18" customHeight="1" x14ac:dyDescent="0.25">
      <c r="A45" s="11">
        <v>42</v>
      </c>
      <c r="B45" s="12"/>
      <c r="C45" s="13"/>
      <c r="D45" s="13"/>
      <c r="E45" s="13"/>
      <c r="F45" s="13"/>
      <c r="G45" s="8" t="str">
        <f t="shared" si="6"/>
        <v/>
      </c>
      <c r="H45" s="8" t="str">
        <f t="shared" si="7"/>
        <v/>
      </c>
      <c r="I45" s="8" t="str">
        <f>IF(AND(C45&lt;&gt;"",Dashbord!$B$8&lt;&gt;""),ABS(C45-Dashbord!$B$8),"")</f>
        <v/>
      </c>
      <c r="J45" s="14"/>
      <c r="K45" s="15" t="str">
        <f t="shared" si="8"/>
        <v/>
      </c>
      <c r="L45" s="16" t="str">
        <f t="shared" si="9"/>
        <v/>
      </c>
      <c r="M45" s="16" t="str">
        <f t="shared" si="10"/>
        <v/>
      </c>
      <c r="N45" s="17" t="str">
        <f t="shared" ref="N45:N63" si="11">IF(K45="","",IF(COUNTIF(K36:K45,"FLAT")&gt;=8,"ACTIVATE","No: "&amp;COUNTIF(K36:K45,"FLAT")&amp;"/10"))</f>
        <v/>
      </c>
      <c r="O45" s="18"/>
    </row>
    <row r="46" spans="1:15" ht="18" customHeight="1" x14ac:dyDescent="0.25">
      <c r="A46" s="11">
        <v>43</v>
      </c>
      <c r="B46" s="12"/>
      <c r="C46" s="13"/>
      <c r="D46" s="13"/>
      <c r="E46" s="13"/>
      <c r="F46" s="13"/>
      <c r="G46" s="8" t="str">
        <f t="shared" si="6"/>
        <v/>
      </c>
      <c r="H46" s="8" t="str">
        <f t="shared" si="7"/>
        <v/>
      </c>
      <c r="I46" s="8" t="str">
        <f>IF(AND(C46&lt;&gt;"",Dashbord!$B$8&lt;&gt;""),ABS(C46-Dashbord!$B$8),"")</f>
        <v/>
      </c>
      <c r="J46" s="14"/>
      <c r="K46" s="15" t="str">
        <f t="shared" si="8"/>
        <v/>
      </c>
      <c r="L46" s="16" t="str">
        <f t="shared" si="9"/>
        <v/>
      </c>
      <c r="M46" s="16" t="str">
        <f t="shared" si="10"/>
        <v/>
      </c>
      <c r="N46" s="17" t="str">
        <f t="shared" si="11"/>
        <v/>
      </c>
      <c r="O46" s="18"/>
    </row>
    <row r="47" spans="1:15" ht="18" customHeight="1" x14ac:dyDescent="0.25">
      <c r="A47" s="11">
        <v>44</v>
      </c>
      <c r="B47" s="12"/>
      <c r="C47" s="13"/>
      <c r="D47" s="13"/>
      <c r="E47" s="13"/>
      <c r="F47" s="13"/>
      <c r="G47" s="8" t="str">
        <f t="shared" si="6"/>
        <v/>
      </c>
      <c r="H47" s="8" t="str">
        <f t="shared" si="7"/>
        <v/>
      </c>
      <c r="I47" s="8" t="str">
        <f>IF(AND(C47&lt;&gt;"",Dashbord!$B$8&lt;&gt;""),ABS(C47-Dashbord!$B$8),"")</f>
        <v/>
      </c>
      <c r="J47" s="14"/>
      <c r="K47" s="15" t="str">
        <f t="shared" si="8"/>
        <v/>
      </c>
      <c r="L47" s="16" t="str">
        <f t="shared" si="9"/>
        <v/>
      </c>
      <c r="M47" s="16" t="str">
        <f t="shared" si="10"/>
        <v/>
      </c>
      <c r="N47" s="17" t="str">
        <f t="shared" si="11"/>
        <v/>
      </c>
      <c r="O47" s="18"/>
    </row>
    <row r="48" spans="1:15" ht="18" customHeight="1" x14ac:dyDescent="0.25">
      <c r="A48" s="11">
        <v>45</v>
      </c>
      <c r="B48" s="12"/>
      <c r="C48" s="13"/>
      <c r="D48" s="13"/>
      <c r="E48" s="13"/>
      <c r="F48" s="13"/>
      <c r="G48" s="8" t="str">
        <f t="shared" si="6"/>
        <v/>
      </c>
      <c r="H48" s="8" t="str">
        <f t="shared" si="7"/>
        <v/>
      </c>
      <c r="I48" s="8" t="str">
        <f>IF(AND(C48&lt;&gt;"",Dashbord!$B$8&lt;&gt;""),ABS(C48-Dashbord!$B$8),"")</f>
        <v/>
      </c>
      <c r="J48" s="14"/>
      <c r="K48" s="15" t="str">
        <f t="shared" si="8"/>
        <v/>
      </c>
      <c r="L48" s="16" t="str">
        <f t="shared" si="9"/>
        <v/>
      </c>
      <c r="M48" s="16" t="str">
        <f t="shared" si="10"/>
        <v/>
      </c>
      <c r="N48" s="17" t="str">
        <f t="shared" si="11"/>
        <v/>
      </c>
      <c r="O48" s="18"/>
    </row>
    <row r="49" spans="1:15" ht="18" customHeight="1" x14ac:dyDescent="0.25">
      <c r="A49" s="11">
        <v>46</v>
      </c>
      <c r="B49" s="12"/>
      <c r="C49" s="13"/>
      <c r="D49" s="13"/>
      <c r="E49" s="13"/>
      <c r="F49" s="13"/>
      <c r="G49" s="8" t="str">
        <f t="shared" si="6"/>
        <v/>
      </c>
      <c r="H49" s="8" t="str">
        <f t="shared" si="7"/>
        <v/>
      </c>
      <c r="I49" s="8" t="str">
        <f>IF(AND(C49&lt;&gt;"",Dashbord!$B$8&lt;&gt;""),ABS(C49-Dashbord!$B$8),"")</f>
        <v/>
      </c>
      <c r="J49" s="14"/>
      <c r="K49" s="15" t="str">
        <f t="shared" si="8"/>
        <v/>
      </c>
      <c r="L49" s="16" t="str">
        <f t="shared" si="9"/>
        <v/>
      </c>
      <c r="M49" s="16" t="str">
        <f t="shared" si="10"/>
        <v/>
      </c>
      <c r="N49" s="17" t="str">
        <f t="shared" si="11"/>
        <v/>
      </c>
      <c r="O49" s="18"/>
    </row>
    <row r="50" spans="1:15" ht="18" customHeight="1" x14ac:dyDescent="0.25">
      <c r="A50" s="11">
        <v>47</v>
      </c>
      <c r="B50" s="12"/>
      <c r="C50" s="13"/>
      <c r="D50" s="13"/>
      <c r="E50" s="13"/>
      <c r="F50" s="13"/>
      <c r="G50" s="8" t="str">
        <f t="shared" si="6"/>
        <v/>
      </c>
      <c r="H50" s="8" t="str">
        <f t="shared" si="7"/>
        <v/>
      </c>
      <c r="I50" s="8" t="str">
        <f>IF(AND(C50&lt;&gt;"",Dashbord!$B$8&lt;&gt;""),ABS(C50-Dashbord!$B$8),"")</f>
        <v/>
      </c>
      <c r="J50" s="14"/>
      <c r="K50" s="15" t="str">
        <f t="shared" si="8"/>
        <v/>
      </c>
      <c r="L50" s="16" t="str">
        <f t="shared" si="9"/>
        <v/>
      </c>
      <c r="M50" s="16" t="str">
        <f t="shared" si="10"/>
        <v/>
      </c>
      <c r="N50" s="17" t="str">
        <f t="shared" si="11"/>
        <v/>
      </c>
      <c r="O50" s="18"/>
    </row>
    <row r="51" spans="1:15" ht="18" customHeight="1" x14ac:dyDescent="0.25">
      <c r="A51" s="11">
        <v>48</v>
      </c>
      <c r="B51" s="12"/>
      <c r="C51" s="13"/>
      <c r="D51" s="13"/>
      <c r="E51" s="13"/>
      <c r="F51" s="13"/>
      <c r="G51" s="8" t="str">
        <f t="shared" si="6"/>
        <v/>
      </c>
      <c r="H51" s="8" t="str">
        <f t="shared" si="7"/>
        <v/>
      </c>
      <c r="I51" s="8" t="str">
        <f>IF(AND(C51&lt;&gt;"",Dashbord!$B$8&lt;&gt;""),ABS(C51-Dashbord!$B$8),"")</f>
        <v/>
      </c>
      <c r="J51" s="14"/>
      <c r="K51" s="15" t="str">
        <f t="shared" si="8"/>
        <v/>
      </c>
      <c r="L51" s="16" t="str">
        <f t="shared" si="9"/>
        <v/>
      </c>
      <c r="M51" s="16" t="str">
        <f t="shared" si="10"/>
        <v/>
      </c>
      <c r="N51" s="17" t="str">
        <f t="shared" si="11"/>
        <v/>
      </c>
      <c r="O51" s="18"/>
    </row>
    <row r="52" spans="1:15" ht="18" customHeight="1" x14ac:dyDescent="0.25">
      <c r="A52" s="11">
        <v>49</v>
      </c>
      <c r="B52" s="12"/>
      <c r="C52" s="13"/>
      <c r="D52" s="13"/>
      <c r="E52" s="13"/>
      <c r="F52" s="13"/>
      <c r="G52" s="8" t="str">
        <f t="shared" si="6"/>
        <v/>
      </c>
      <c r="H52" s="8" t="str">
        <f t="shared" si="7"/>
        <v/>
      </c>
      <c r="I52" s="8" t="str">
        <f>IF(AND(C52&lt;&gt;"",Dashbord!$B$8&lt;&gt;""),ABS(C52-Dashbord!$B$8),"")</f>
        <v/>
      </c>
      <c r="J52" s="14"/>
      <c r="K52" s="15" t="str">
        <f t="shared" si="8"/>
        <v/>
      </c>
      <c r="L52" s="16" t="str">
        <f t="shared" si="9"/>
        <v/>
      </c>
      <c r="M52" s="16" t="str">
        <f t="shared" si="10"/>
        <v/>
      </c>
      <c r="N52" s="17" t="str">
        <f t="shared" si="11"/>
        <v/>
      </c>
      <c r="O52" s="18"/>
    </row>
    <row r="53" spans="1:15" ht="18" customHeight="1" x14ac:dyDescent="0.25">
      <c r="A53" s="11">
        <v>50</v>
      </c>
      <c r="B53" s="12"/>
      <c r="C53" s="13"/>
      <c r="D53" s="13"/>
      <c r="E53" s="13"/>
      <c r="F53" s="13"/>
      <c r="G53" s="8" t="str">
        <f t="shared" si="6"/>
        <v/>
      </c>
      <c r="H53" s="8" t="str">
        <f t="shared" si="7"/>
        <v/>
      </c>
      <c r="I53" s="8" t="str">
        <f>IF(AND(C53&lt;&gt;"",Dashbord!$B$8&lt;&gt;""),ABS(C53-Dashbord!$B$8),"")</f>
        <v/>
      </c>
      <c r="J53" s="14"/>
      <c r="K53" s="15" t="str">
        <f t="shared" si="8"/>
        <v/>
      </c>
      <c r="L53" s="16" t="str">
        <f t="shared" si="9"/>
        <v/>
      </c>
      <c r="M53" s="16" t="str">
        <f t="shared" si="10"/>
        <v/>
      </c>
      <c r="N53" s="17" t="str">
        <f t="shared" si="11"/>
        <v/>
      </c>
      <c r="O53" s="18"/>
    </row>
    <row r="54" spans="1:15" ht="18" customHeight="1" x14ac:dyDescent="0.25">
      <c r="A54" s="11">
        <v>51</v>
      </c>
      <c r="B54" s="12"/>
      <c r="C54" s="13"/>
      <c r="D54" s="13"/>
      <c r="E54" s="13"/>
      <c r="F54" s="13"/>
      <c r="G54" s="8" t="str">
        <f t="shared" si="6"/>
        <v/>
      </c>
      <c r="H54" s="8" t="str">
        <f t="shared" si="7"/>
        <v/>
      </c>
      <c r="I54" s="8" t="str">
        <f>IF(AND(C54&lt;&gt;"",Dashbord!$B$8&lt;&gt;""),ABS(C54-Dashbord!$B$8),"")</f>
        <v/>
      </c>
      <c r="J54" s="14"/>
      <c r="K54" s="15" t="str">
        <f t="shared" si="8"/>
        <v/>
      </c>
      <c r="L54" s="16" t="str">
        <f t="shared" si="9"/>
        <v/>
      </c>
      <c r="M54" s="16" t="str">
        <f t="shared" si="10"/>
        <v/>
      </c>
      <c r="N54" s="17" t="str">
        <f t="shared" si="11"/>
        <v/>
      </c>
      <c r="O54" s="18"/>
    </row>
    <row r="55" spans="1:15" ht="18" customHeight="1" x14ac:dyDescent="0.25">
      <c r="A55" s="11">
        <v>52</v>
      </c>
      <c r="B55" s="12"/>
      <c r="C55" s="13"/>
      <c r="D55" s="13"/>
      <c r="E55" s="13"/>
      <c r="F55" s="13"/>
      <c r="G55" s="8" t="str">
        <f t="shared" si="6"/>
        <v/>
      </c>
      <c r="H55" s="8" t="str">
        <f t="shared" si="7"/>
        <v/>
      </c>
      <c r="I55" s="8" t="str">
        <f>IF(AND(C55&lt;&gt;"",Dashbord!$B$8&lt;&gt;""),ABS(C55-Dashbord!$B$8),"")</f>
        <v/>
      </c>
      <c r="J55" s="14"/>
      <c r="K55" s="15" t="str">
        <f t="shared" si="8"/>
        <v/>
      </c>
      <c r="L55" s="16" t="str">
        <f t="shared" si="9"/>
        <v/>
      </c>
      <c r="M55" s="16" t="str">
        <f t="shared" si="10"/>
        <v/>
      </c>
      <c r="N55" s="17" t="str">
        <f t="shared" si="11"/>
        <v/>
      </c>
      <c r="O55" s="18"/>
    </row>
    <row r="56" spans="1:15" ht="18" customHeight="1" x14ac:dyDescent="0.25">
      <c r="A56" s="11">
        <v>53</v>
      </c>
      <c r="B56" s="12"/>
      <c r="C56" s="13"/>
      <c r="D56" s="13"/>
      <c r="E56" s="13"/>
      <c r="F56" s="13"/>
      <c r="G56" s="8" t="str">
        <f t="shared" si="6"/>
        <v/>
      </c>
      <c r="H56" s="8" t="str">
        <f t="shared" si="7"/>
        <v/>
      </c>
      <c r="I56" s="8" t="str">
        <f>IF(AND(C56&lt;&gt;"",Dashbord!$B$8&lt;&gt;""),ABS(C56-Dashbord!$B$8),"")</f>
        <v/>
      </c>
      <c r="J56" s="14"/>
      <c r="K56" s="15" t="str">
        <f t="shared" si="8"/>
        <v/>
      </c>
      <c r="L56" s="16" t="str">
        <f t="shared" si="9"/>
        <v/>
      </c>
      <c r="M56" s="16" t="str">
        <f t="shared" si="10"/>
        <v/>
      </c>
      <c r="N56" s="17" t="str">
        <f t="shared" si="11"/>
        <v/>
      </c>
      <c r="O56" s="18"/>
    </row>
    <row r="57" spans="1:15" ht="18" customHeight="1" x14ac:dyDescent="0.25">
      <c r="A57" s="11">
        <v>54</v>
      </c>
      <c r="B57" s="12"/>
      <c r="C57" s="13"/>
      <c r="D57" s="13"/>
      <c r="E57" s="13"/>
      <c r="F57" s="13"/>
      <c r="G57" s="8" t="str">
        <f t="shared" si="6"/>
        <v/>
      </c>
      <c r="H57" s="8" t="str">
        <f t="shared" si="7"/>
        <v/>
      </c>
      <c r="I57" s="8" t="str">
        <f>IF(AND(C57&lt;&gt;"",Dashbord!$B$8&lt;&gt;""),ABS(C57-Dashbord!$B$8),"")</f>
        <v/>
      </c>
      <c r="J57" s="14"/>
      <c r="K57" s="15" t="str">
        <f t="shared" si="8"/>
        <v/>
      </c>
      <c r="L57" s="16" t="str">
        <f t="shared" si="9"/>
        <v/>
      </c>
      <c r="M57" s="16" t="str">
        <f t="shared" si="10"/>
        <v/>
      </c>
      <c r="N57" s="17" t="str">
        <f t="shared" si="11"/>
        <v/>
      </c>
      <c r="O57" s="18"/>
    </row>
    <row r="58" spans="1:15" ht="18" customHeight="1" x14ac:dyDescent="0.25">
      <c r="A58" s="11">
        <v>55</v>
      </c>
      <c r="B58" s="12"/>
      <c r="C58" s="13"/>
      <c r="D58" s="13"/>
      <c r="E58" s="13"/>
      <c r="F58" s="13"/>
      <c r="G58" s="8" t="str">
        <f t="shared" si="6"/>
        <v/>
      </c>
      <c r="H58" s="8" t="str">
        <f t="shared" si="7"/>
        <v/>
      </c>
      <c r="I58" s="8" t="str">
        <f>IF(AND(C58&lt;&gt;"",Dashbord!$B$8&lt;&gt;""),ABS(C58-Dashbord!$B$8),"")</f>
        <v/>
      </c>
      <c r="J58" s="14"/>
      <c r="K58" s="15" t="str">
        <f t="shared" si="8"/>
        <v/>
      </c>
      <c r="L58" s="16" t="str">
        <f t="shared" si="9"/>
        <v/>
      </c>
      <c r="M58" s="16" t="str">
        <f t="shared" si="10"/>
        <v/>
      </c>
      <c r="N58" s="17" t="str">
        <f t="shared" si="11"/>
        <v/>
      </c>
      <c r="O58" s="18"/>
    </row>
    <row r="59" spans="1:15" ht="18" customHeight="1" x14ac:dyDescent="0.25">
      <c r="A59" s="11">
        <v>56</v>
      </c>
      <c r="B59" s="12"/>
      <c r="C59" s="13"/>
      <c r="D59" s="13"/>
      <c r="E59" s="13"/>
      <c r="F59" s="13"/>
      <c r="G59" s="8" t="str">
        <f t="shared" si="6"/>
        <v/>
      </c>
      <c r="H59" s="8" t="str">
        <f t="shared" si="7"/>
        <v/>
      </c>
      <c r="I59" s="8" t="str">
        <f>IF(AND(C59&lt;&gt;"",Dashbord!$B$8&lt;&gt;""),ABS(C59-Dashbord!$B$8),"")</f>
        <v/>
      </c>
      <c r="J59" s="14"/>
      <c r="K59" s="15" t="str">
        <f t="shared" si="8"/>
        <v/>
      </c>
      <c r="L59" s="16" t="str">
        <f t="shared" si="9"/>
        <v/>
      </c>
      <c r="M59" s="16" t="str">
        <f t="shared" si="10"/>
        <v/>
      </c>
      <c r="N59" s="17" t="str">
        <f t="shared" si="11"/>
        <v/>
      </c>
      <c r="O59" s="18"/>
    </row>
    <row r="60" spans="1:15" ht="18" customHeight="1" x14ac:dyDescent="0.25">
      <c r="A60" s="11">
        <v>57</v>
      </c>
      <c r="B60" s="12"/>
      <c r="C60" s="13"/>
      <c r="D60" s="13"/>
      <c r="E60" s="13"/>
      <c r="F60" s="13"/>
      <c r="G60" s="8" t="str">
        <f t="shared" si="6"/>
        <v/>
      </c>
      <c r="H60" s="8" t="str">
        <f t="shared" si="7"/>
        <v/>
      </c>
      <c r="I60" s="8" t="str">
        <f>IF(AND(C60&lt;&gt;"",Dashbord!$B$8&lt;&gt;""),ABS(C60-Dashbord!$B$8),"")</f>
        <v/>
      </c>
      <c r="J60" s="14"/>
      <c r="K60" s="15" t="str">
        <f t="shared" si="8"/>
        <v/>
      </c>
      <c r="L60" s="16" t="str">
        <f t="shared" si="9"/>
        <v/>
      </c>
      <c r="M60" s="16" t="str">
        <f t="shared" si="10"/>
        <v/>
      </c>
      <c r="N60" s="17" t="str">
        <f t="shared" si="11"/>
        <v/>
      </c>
      <c r="O60" s="18"/>
    </row>
    <row r="61" spans="1:15" ht="18" customHeight="1" x14ac:dyDescent="0.25">
      <c r="A61" s="11">
        <v>58</v>
      </c>
      <c r="B61" s="12"/>
      <c r="C61" s="13"/>
      <c r="D61" s="13"/>
      <c r="E61" s="13"/>
      <c r="F61" s="13"/>
      <c r="G61" s="8" t="str">
        <f t="shared" si="6"/>
        <v/>
      </c>
      <c r="H61" s="8" t="str">
        <f t="shared" si="7"/>
        <v/>
      </c>
      <c r="I61" s="8" t="str">
        <f>IF(AND(C61&lt;&gt;"",Dashbord!$B$8&lt;&gt;""),ABS(C61-Dashbord!$B$8),"")</f>
        <v/>
      </c>
      <c r="J61" s="14"/>
      <c r="K61" s="15" t="str">
        <f t="shared" si="8"/>
        <v/>
      </c>
      <c r="L61" s="16" t="str">
        <f t="shared" si="9"/>
        <v/>
      </c>
      <c r="M61" s="16" t="str">
        <f t="shared" si="10"/>
        <v/>
      </c>
      <c r="N61" s="17" t="str">
        <f t="shared" si="11"/>
        <v/>
      </c>
      <c r="O61" s="18"/>
    </row>
    <row r="62" spans="1:15" ht="18" customHeight="1" x14ac:dyDescent="0.25">
      <c r="A62" s="11">
        <v>59</v>
      </c>
      <c r="B62" s="12"/>
      <c r="C62" s="13"/>
      <c r="D62" s="13"/>
      <c r="E62" s="13"/>
      <c r="F62" s="13"/>
      <c r="G62" s="8" t="str">
        <f t="shared" si="6"/>
        <v/>
      </c>
      <c r="H62" s="8" t="str">
        <f t="shared" si="7"/>
        <v/>
      </c>
      <c r="I62" s="8" t="str">
        <f>IF(AND(C62&lt;&gt;"",Dashbord!$B$8&lt;&gt;""),ABS(C62-Dashbord!$B$8),"")</f>
        <v/>
      </c>
      <c r="J62" s="14"/>
      <c r="K62" s="15" t="str">
        <f t="shared" si="8"/>
        <v/>
      </c>
      <c r="L62" s="16" t="str">
        <f t="shared" si="9"/>
        <v/>
      </c>
      <c r="M62" s="16" t="str">
        <f t="shared" si="10"/>
        <v/>
      </c>
      <c r="N62" s="17" t="str">
        <f t="shared" si="11"/>
        <v/>
      </c>
      <c r="O62" s="18"/>
    </row>
    <row r="63" spans="1:15" ht="18" customHeight="1" x14ac:dyDescent="0.25">
      <c r="A63" s="11">
        <v>60</v>
      </c>
      <c r="B63" s="12"/>
      <c r="C63" s="13"/>
      <c r="D63" s="13"/>
      <c r="E63" s="13"/>
      <c r="F63" s="13"/>
      <c r="G63" s="8" t="str">
        <f t="shared" si="6"/>
        <v/>
      </c>
      <c r="H63" s="8" t="str">
        <f t="shared" si="7"/>
        <v/>
      </c>
      <c r="I63" s="8" t="str">
        <f>IF(AND(C63&lt;&gt;"",Dashbord!$B$8&lt;&gt;""),ABS(C63-Dashbord!$B$8),"")</f>
        <v/>
      </c>
      <c r="J63" s="14"/>
      <c r="K63" s="15" t="str">
        <f t="shared" si="8"/>
        <v/>
      </c>
      <c r="L63" s="16" t="str">
        <f t="shared" si="9"/>
        <v/>
      </c>
      <c r="M63" s="16" t="str">
        <f t="shared" si="10"/>
        <v/>
      </c>
      <c r="N63" s="17" t="str">
        <f t="shared" si="11"/>
        <v/>
      </c>
      <c r="O63" s="18"/>
    </row>
  </sheetData>
  <mergeCells count="2">
    <mergeCell ref="A1:O1"/>
    <mergeCell ref="A2:O2"/>
  </mergeCells>
  <conditionalFormatting sqref="K4:K63">
    <cfRule type="cellIs" dxfId="9" priority="1" operator="equal">
      <formula>"FLAT"</formula>
    </cfRule>
    <cfRule type="cellIs" dxfId="8" priority="2" operator="equal">
      <formula>"TREND UP"</formula>
    </cfRule>
    <cfRule type="cellIs" dxfId="7" priority="3" operator="equal">
      <formula>"TREND DOWN"</formula>
    </cfRule>
  </conditionalFormatting>
  <conditionalFormatting sqref="L4:M63">
    <cfRule type="cellIs" dxfId="6" priority="4" operator="equal">
      <formula>"YES"</formula>
    </cfRule>
    <cfRule type="cellIs" dxfId="5" priority="5" operator="equal">
      <formula>"NO"</formula>
    </cfRule>
  </conditionalFormatting>
  <conditionalFormatting sqref="N4:N63">
    <cfRule type="cellIs" dxfId="4" priority="6" operator="equal">
      <formula>"ACTIVATE"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J16"/>
  <sheetViews>
    <sheetView showGridLines="0" workbookViewId="0"/>
  </sheetViews>
  <sheetFormatPr defaultRowHeight="15" x14ac:dyDescent="0.25"/>
  <cols>
    <col min="1" max="1" width="28" customWidth="1"/>
    <col min="2" max="2" width="15" customWidth="1"/>
    <col min="3" max="3" width="2" customWidth="1"/>
    <col min="4" max="4" width="28" customWidth="1"/>
    <col min="5" max="7" width="14" customWidth="1"/>
    <col min="8" max="8" width="24" customWidth="1"/>
    <col min="9" max="10" width="14" customWidth="1"/>
  </cols>
  <sheetData>
    <row r="1" spans="1:10" ht="30" customHeight="1" x14ac:dyDescent="0.25">
      <c r="A1" s="63" t="s">
        <v>72</v>
      </c>
      <c r="B1" s="45"/>
      <c r="C1" s="45"/>
      <c r="D1" s="45"/>
      <c r="E1" s="45"/>
      <c r="F1" s="45"/>
      <c r="G1" s="45"/>
      <c r="H1" s="46"/>
    </row>
    <row r="3" spans="1:10" ht="21.95" customHeight="1" x14ac:dyDescent="0.25">
      <c r="A3" s="54" t="s">
        <v>73</v>
      </c>
      <c r="B3" s="46"/>
      <c r="D3" s="53" t="s">
        <v>74</v>
      </c>
      <c r="E3" s="46"/>
      <c r="F3" s="1" t="s">
        <v>75</v>
      </c>
      <c r="G3" s="1" t="s">
        <v>76</v>
      </c>
    </row>
    <row r="4" spans="1:10" ht="20.100000000000001" customHeight="1" x14ac:dyDescent="0.25">
      <c r="A4" s="2" t="s">
        <v>77</v>
      </c>
      <c r="B4" s="4" t="e">
        <f ca="1">Dashbord!E7</f>
        <v>#NAME?</v>
      </c>
      <c r="G4" s="34" t="s">
        <v>78</v>
      </c>
      <c r="H4" s="4"/>
      <c r="I4" s="34" t="s">
        <v>79</v>
      </c>
      <c r="J4" s="4"/>
    </row>
    <row r="5" spans="1:10" ht="20.100000000000001" customHeight="1" x14ac:dyDescent="0.25">
      <c r="A5" s="2" t="s">
        <v>80</v>
      </c>
      <c r="B5" s="6">
        <v>315</v>
      </c>
      <c r="G5" s="34" t="s">
        <v>43</v>
      </c>
      <c r="H5" s="4"/>
      <c r="I5" s="34" t="s">
        <v>44</v>
      </c>
      <c r="J5" s="4"/>
    </row>
    <row r="6" spans="1:10" ht="20.100000000000001" customHeight="1" x14ac:dyDescent="0.25">
      <c r="A6" s="2" t="s">
        <v>81</v>
      </c>
      <c r="B6" s="6">
        <v>305</v>
      </c>
      <c r="G6" s="34" t="s">
        <v>46</v>
      </c>
      <c r="H6" s="4"/>
      <c r="I6" s="34" t="s">
        <v>47</v>
      </c>
      <c r="J6" s="4"/>
    </row>
    <row r="7" spans="1:10" ht="20.100000000000001" customHeight="1" x14ac:dyDescent="0.25">
      <c r="A7" s="2" t="s">
        <v>82</v>
      </c>
      <c r="B7" s="6">
        <v>315</v>
      </c>
      <c r="G7" s="34" t="s">
        <v>49</v>
      </c>
      <c r="H7" s="4"/>
      <c r="I7" s="34" t="s">
        <v>50</v>
      </c>
      <c r="J7" s="4"/>
    </row>
    <row r="8" spans="1:10" ht="20.100000000000001" customHeight="1" x14ac:dyDescent="0.25">
      <c r="A8" s="2" t="s">
        <v>83</v>
      </c>
      <c r="B8" s="6">
        <v>320</v>
      </c>
    </row>
    <row r="9" spans="1:10" ht="20.100000000000001" customHeight="1" x14ac:dyDescent="0.25">
      <c r="A9" s="2" t="s">
        <v>84</v>
      </c>
      <c r="B9" s="6">
        <v>330</v>
      </c>
      <c r="G9" s="1" t="s">
        <v>85</v>
      </c>
      <c r="I9" s="36" t="s">
        <v>86</v>
      </c>
    </row>
    <row r="10" spans="1:10" ht="20.100000000000001" customHeight="1" x14ac:dyDescent="0.25">
      <c r="A10" s="2" t="s">
        <v>87</v>
      </c>
      <c r="B10" s="19">
        <f>Dashbord!E18</f>
        <v>0.125</v>
      </c>
      <c r="G10" s="34" t="s">
        <v>88</v>
      </c>
      <c r="H10" s="38">
        <f>(J4-H4)*$B$13</f>
        <v>0</v>
      </c>
      <c r="I10" s="34" t="s">
        <v>89</v>
      </c>
      <c r="J10" s="39">
        <f>Dashbord!M21</f>
        <v>320</v>
      </c>
    </row>
    <row r="11" spans="1:10" ht="20.100000000000001" customHeight="1" x14ac:dyDescent="0.25">
      <c r="A11" s="2" t="s">
        <v>90</v>
      </c>
      <c r="B11" s="6">
        <v>21</v>
      </c>
      <c r="G11" s="34" t="s">
        <v>91</v>
      </c>
      <c r="H11" s="38">
        <f>(H5-J5)*$B$13</f>
        <v>0</v>
      </c>
      <c r="I11" s="34" t="s">
        <v>92</v>
      </c>
      <c r="J11" s="40"/>
    </row>
    <row r="12" spans="1:10" ht="20.100000000000001" customHeight="1" x14ac:dyDescent="0.25">
      <c r="A12" s="2" t="s">
        <v>25</v>
      </c>
      <c r="B12" s="6">
        <v>1000</v>
      </c>
      <c r="G12" s="34" t="s">
        <v>93</v>
      </c>
      <c r="H12" s="38">
        <f>(J6-H6)*$B$13</f>
        <v>0</v>
      </c>
      <c r="I12" s="34" t="s">
        <v>94</v>
      </c>
      <c r="J12" s="39">
        <f>J7</f>
        <v>0</v>
      </c>
    </row>
    <row r="13" spans="1:10" ht="20.100000000000001" customHeight="1" x14ac:dyDescent="0.25">
      <c r="A13" s="2" t="s">
        <v>95</v>
      </c>
      <c r="B13" s="6">
        <v>100</v>
      </c>
      <c r="G13" s="34" t="s">
        <v>96</v>
      </c>
      <c r="H13" s="38">
        <f>(H7-J7)*$B$13</f>
        <v>0</v>
      </c>
      <c r="I13" s="34" t="s">
        <v>97</v>
      </c>
      <c r="J13" s="39" t="str">
        <f>IF(AND(J11&lt;&gt;"",J12&lt;&gt;""),(J11-J12)*$B$13,"")</f>
        <v/>
      </c>
    </row>
    <row r="14" spans="1:10" x14ac:dyDescent="0.25">
      <c r="G14" s="36" t="s">
        <v>98</v>
      </c>
      <c r="H14" s="41">
        <f>SUM(H10:H13)</f>
        <v>0</v>
      </c>
    </row>
    <row r="15" spans="1:10" x14ac:dyDescent="0.25">
      <c r="G15" s="34" t="s">
        <v>99</v>
      </c>
      <c r="H15" s="42" t="e">
        <f ca="1">(B4-Dashbord!B7)*$B$12</f>
        <v>#NAME?</v>
      </c>
    </row>
    <row r="16" spans="1:10" x14ac:dyDescent="0.25">
      <c r="G16" s="36" t="s">
        <v>100</v>
      </c>
      <c r="H16" s="43" t="e">
        <f ca="1">H14+H15</f>
        <v>#NAME?</v>
      </c>
    </row>
  </sheetData>
  <mergeCells count="3">
    <mergeCell ref="D3:E3"/>
    <mergeCell ref="A3:B3"/>
    <mergeCell ref="A1:H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4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4" customWidth="1"/>
    <col min="2" max="2" width="11" customWidth="1"/>
    <col min="3" max="4" width="7" customWidth="1"/>
    <col min="5" max="5" width="14" customWidth="1"/>
    <col min="6" max="10" width="7" customWidth="1"/>
    <col min="11" max="14" width="10" customWidth="1"/>
    <col min="15" max="16" width="12" customWidth="1"/>
    <col min="17" max="17" width="14" customWidth="1"/>
  </cols>
  <sheetData>
    <row r="1" spans="1:17" ht="27.95" customHeight="1" x14ac:dyDescent="0.25">
      <c r="A1" s="63" t="s">
        <v>101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6"/>
    </row>
    <row r="2" spans="1:17" ht="15" customHeight="1" x14ac:dyDescent="0.25">
      <c r="A2" s="64" t="s">
        <v>102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6"/>
    </row>
    <row r="3" spans="1:17" ht="36" customHeight="1" x14ac:dyDescent="0.25">
      <c r="A3" s="10" t="s">
        <v>57</v>
      </c>
      <c r="B3" s="10" t="s">
        <v>103</v>
      </c>
      <c r="C3" s="10" t="s">
        <v>104</v>
      </c>
      <c r="D3" s="10" t="s">
        <v>105</v>
      </c>
      <c r="E3" s="10" t="s">
        <v>106</v>
      </c>
      <c r="F3" s="10" t="s">
        <v>107</v>
      </c>
      <c r="G3" s="10" t="s">
        <v>108</v>
      </c>
      <c r="H3" s="10" t="s">
        <v>109</v>
      </c>
      <c r="I3" s="10" t="s">
        <v>110</v>
      </c>
      <c r="J3" s="10" t="s">
        <v>111</v>
      </c>
      <c r="K3" s="10" t="s">
        <v>112</v>
      </c>
      <c r="L3" s="10" t="s">
        <v>113</v>
      </c>
      <c r="M3" s="10" t="s">
        <v>114</v>
      </c>
      <c r="N3" s="10" t="s">
        <v>115</v>
      </c>
      <c r="O3" s="10" t="s">
        <v>116</v>
      </c>
      <c r="P3" s="10" t="s">
        <v>117</v>
      </c>
      <c r="Q3" s="10" t="s">
        <v>118</v>
      </c>
    </row>
    <row r="4" spans="1:17" ht="21.95" customHeight="1" x14ac:dyDescent="0.25">
      <c r="A4" s="11">
        <v>1</v>
      </c>
      <c r="B4" s="12" t="s">
        <v>119</v>
      </c>
      <c r="C4" s="13">
        <v>317.60000000000002</v>
      </c>
      <c r="D4" s="20">
        <v>320</v>
      </c>
      <c r="E4" s="21" t="s">
        <v>120</v>
      </c>
      <c r="F4" s="14">
        <v>0.373</v>
      </c>
      <c r="G4" s="14">
        <v>0.42899999999999999</v>
      </c>
      <c r="H4" s="20">
        <v>12</v>
      </c>
      <c r="I4" s="21" t="s">
        <v>121</v>
      </c>
      <c r="J4" s="21" t="s">
        <v>121</v>
      </c>
      <c r="K4" s="22">
        <v>-7354</v>
      </c>
      <c r="L4" s="22">
        <v>6247</v>
      </c>
      <c r="M4" s="22">
        <v>1173</v>
      </c>
      <c r="N4" s="23">
        <f t="shared" ref="N4:N24" si="0">IF(K4&lt;&gt;"",K4+IF(L4&lt;&gt;"",L4,0)+IF(M4&lt;&gt;"",M4,0),"")</f>
        <v>66</v>
      </c>
      <c r="O4" s="24">
        <f>IF(N4&lt;&gt;"",N4,"")</f>
        <v>66</v>
      </c>
      <c r="P4" s="25" t="str">
        <f t="shared" ref="P4:P24" si="1">IF(N4="","",IF(N4&gt;0,"PROFIT","LOSS"))</f>
        <v>PROFIT</v>
      </c>
      <c r="Q4" s="18"/>
    </row>
    <row r="5" spans="1:17" ht="21.95" customHeight="1" x14ac:dyDescent="0.25">
      <c r="A5" s="11">
        <v>2</v>
      </c>
      <c r="B5" s="12" t="s">
        <v>122</v>
      </c>
      <c r="C5" s="13">
        <v>308.3</v>
      </c>
      <c r="D5" s="20">
        <v>310</v>
      </c>
      <c r="E5" s="21" t="s">
        <v>123</v>
      </c>
      <c r="F5" s="14">
        <v>0.23899999999999999</v>
      </c>
      <c r="G5" s="14">
        <v>0.27500000000000002</v>
      </c>
      <c r="H5" s="20">
        <v>12</v>
      </c>
      <c r="I5" s="21" t="s">
        <v>121</v>
      </c>
      <c r="J5" s="21" t="s">
        <v>121</v>
      </c>
      <c r="K5" s="22">
        <v>1661</v>
      </c>
      <c r="L5" s="22">
        <v>3543</v>
      </c>
      <c r="M5" s="22">
        <v>2382</v>
      </c>
      <c r="N5" s="23">
        <f t="shared" si="0"/>
        <v>7586</v>
      </c>
      <c r="O5" s="24">
        <f t="shared" ref="O5:O24" si="2">IF(N5&lt;&gt;"",N5+IF(O4&lt;&gt;"",O4,0),"")</f>
        <v>7652</v>
      </c>
      <c r="P5" s="25" t="str">
        <f t="shared" si="1"/>
        <v>PROFIT</v>
      </c>
      <c r="Q5" s="18"/>
    </row>
    <row r="6" spans="1:17" ht="21.95" customHeight="1" x14ac:dyDescent="0.25">
      <c r="A6" s="11">
        <v>3</v>
      </c>
      <c r="B6" s="12" t="s">
        <v>124</v>
      </c>
      <c r="C6" s="13">
        <v>310.2</v>
      </c>
      <c r="D6" s="20">
        <v>310</v>
      </c>
      <c r="E6" s="21" t="s">
        <v>123</v>
      </c>
      <c r="F6" s="14">
        <v>0.23499999999999999</v>
      </c>
      <c r="G6" s="14">
        <v>0.27</v>
      </c>
      <c r="H6" s="20">
        <v>20</v>
      </c>
      <c r="I6" s="21" t="s">
        <v>121</v>
      </c>
      <c r="J6" s="21" t="s">
        <v>121</v>
      </c>
      <c r="K6" s="22">
        <v>734</v>
      </c>
      <c r="L6" s="22">
        <v>3320</v>
      </c>
      <c r="M6" s="22">
        <v>5004</v>
      </c>
      <c r="N6" s="23">
        <f t="shared" si="0"/>
        <v>9058</v>
      </c>
      <c r="O6" s="24">
        <f t="shared" si="2"/>
        <v>16710</v>
      </c>
      <c r="P6" s="25" t="str">
        <f t="shared" si="1"/>
        <v>PROFIT</v>
      </c>
      <c r="Q6" s="18"/>
    </row>
    <row r="7" spans="1:17" ht="21.95" customHeight="1" x14ac:dyDescent="0.25">
      <c r="A7" s="11">
        <v>4</v>
      </c>
      <c r="B7" s="12" t="s">
        <v>125</v>
      </c>
      <c r="C7" s="13">
        <v>310.10000000000002</v>
      </c>
      <c r="D7" s="20">
        <v>310</v>
      </c>
      <c r="E7" s="21" t="s">
        <v>123</v>
      </c>
      <c r="F7" s="14">
        <v>0.11899999999999999</v>
      </c>
      <c r="G7" s="14">
        <v>0.13700000000000001</v>
      </c>
      <c r="H7" s="20">
        <v>17</v>
      </c>
      <c r="I7" s="21" t="s">
        <v>121</v>
      </c>
      <c r="J7" s="21" t="s">
        <v>121</v>
      </c>
      <c r="K7" s="22">
        <v>-623</v>
      </c>
      <c r="L7" s="22">
        <v>6987</v>
      </c>
      <c r="M7" s="22">
        <v>5187</v>
      </c>
      <c r="N7" s="23">
        <f t="shared" si="0"/>
        <v>11551</v>
      </c>
      <c r="O7" s="24">
        <f t="shared" si="2"/>
        <v>28261</v>
      </c>
      <c r="P7" s="25" t="str">
        <f t="shared" si="1"/>
        <v>PROFIT</v>
      </c>
      <c r="Q7" s="18"/>
    </row>
    <row r="8" spans="1:17" ht="21.95" customHeight="1" x14ac:dyDescent="0.25">
      <c r="A8" s="11">
        <v>5</v>
      </c>
      <c r="B8" s="12" t="s">
        <v>126</v>
      </c>
      <c r="C8" s="13">
        <v>307.39999999999998</v>
      </c>
      <c r="D8" s="20">
        <v>305</v>
      </c>
      <c r="E8" s="21" t="s">
        <v>127</v>
      </c>
      <c r="F8" s="14">
        <v>0.3</v>
      </c>
      <c r="G8" s="14">
        <v>0.34499999999999997</v>
      </c>
      <c r="H8" s="20">
        <v>18</v>
      </c>
      <c r="I8" s="21" t="s">
        <v>121</v>
      </c>
      <c r="J8" s="21" t="s">
        <v>121</v>
      </c>
      <c r="K8" s="22">
        <v>335</v>
      </c>
      <c r="L8" s="22">
        <v>9330</v>
      </c>
      <c r="M8" s="22">
        <v>10658</v>
      </c>
      <c r="N8" s="23">
        <f t="shared" si="0"/>
        <v>20323</v>
      </c>
      <c r="O8" s="24">
        <f t="shared" si="2"/>
        <v>48584</v>
      </c>
      <c r="P8" s="25" t="str">
        <f t="shared" si="1"/>
        <v>PROFIT</v>
      </c>
      <c r="Q8" s="18"/>
    </row>
    <row r="9" spans="1:17" ht="21.95" customHeight="1" x14ac:dyDescent="0.25">
      <c r="A9" s="11">
        <v>6</v>
      </c>
      <c r="B9" s="12" t="s">
        <v>128</v>
      </c>
      <c r="C9" s="13">
        <v>308.39999999999998</v>
      </c>
      <c r="D9" s="20">
        <v>310</v>
      </c>
      <c r="E9" s="21" t="s">
        <v>123</v>
      </c>
      <c r="F9" s="14">
        <v>0.13500000000000001</v>
      </c>
      <c r="G9" s="14">
        <v>0.155</v>
      </c>
      <c r="H9" s="20">
        <v>14</v>
      </c>
      <c r="I9" s="21" t="s">
        <v>121</v>
      </c>
      <c r="J9" s="21" t="s">
        <v>121</v>
      </c>
      <c r="K9" s="22">
        <v>-7772</v>
      </c>
      <c r="L9" s="22">
        <v>955</v>
      </c>
      <c r="M9" s="22">
        <v>340</v>
      </c>
      <c r="N9" s="23">
        <f t="shared" si="0"/>
        <v>-6477</v>
      </c>
      <c r="O9" s="24">
        <f t="shared" si="2"/>
        <v>42107</v>
      </c>
      <c r="P9" s="25" t="str">
        <f t="shared" si="1"/>
        <v>LOSS</v>
      </c>
      <c r="Q9" s="18"/>
    </row>
    <row r="10" spans="1:17" ht="21.95" customHeight="1" x14ac:dyDescent="0.25">
      <c r="A10" s="11">
        <v>7</v>
      </c>
      <c r="B10" s="12" t="s">
        <v>129</v>
      </c>
      <c r="C10" s="13">
        <v>286.39999999999998</v>
      </c>
      <c r="D10" s="20">
        <v>285</v>
      </c>
      <c r="E10" s="21" t="s">
        <v>130</v>
      </c>
      <c r="F10" s="14">
        <v>0.17799999999999999</v>
      </c>
      <c r="G10" s="14">
        <v>0.20499999999999999</v>
      </c>
      <c r="H10" s="20">
        <v>10</v>
      </c>
      <c r="I10" s="21" t="s">
        <v>121</v>
      </c>
      <c r="J10" s="21" t="s">
        <v>121</v>
      </c>
      <c r="K10" s="22">
        <v>644</v>
      </c>
      <c r="L10" s="22">
        <v>5556</v>
      </c>
      <c r="M10" s="22">
        <v>4470</v>
      </c>
      <c r="N10" s="23">
        <f t="shared" si="0"/>
        <v>10670</v>
      </c>
      <c r="O10" s="24">
        <f t="shared" si="2"/>
        <v>52777</v>
      </c>
      <c r="P10" s="25" t="str">
        <f t="shared" si="1"/>
        <v>PROFIT</v>
      </c>
      <c r="Q10" s="18"/>
    </row>
    <row r="11" spans="1:17" ht="21.95" customHeight="1" x14ac:dyDescent="0.25">
      <c r="A11" s="11">
        <v>8</v>
      </c>
      <c r="B11" s="12" t="s">
        <v>131</v>
      </c>
      <c r="C11" s="13">
        <v>290.5</v>
      </c>
      <c r="D11" s="20">
        <v>290</v>
      </c>
      <c r="E11" s="21" t="s">
        <v>132</v>
      </c>
      <c r="F11" s="14">
        <v>0.41199999999999998</v>
      </c>
      <c r="G11" s="14">
        <v>0.47399999999999998</v>
      </c>
      <c r="H11" s="20">
        <v>15</v>
      </c>
      <c r="I11" s="21" t="s">
        <v>121</v>
      </c>
      <c r="J11" s="21" t="s">
        <v>121</v>
      </c>
      <c r="K11" s="22">
        <v>10844</v>
      </c>
      <c r="L11" s="22">
        <v>11632</v>
      </c>
      <c r="M11" s="22">
        <v>7738</v>
      </c>
      <c r="N11" s="23">
        <f t="shared" si="0"/>
        <v>30214</v>
      </c>
      <c r="O11" s="24">
        <f t="shared" si="2"/>
        <v>82991</v>
      </c>
      <c r="P11" s="25" t="str">
        <f t="shared" si="1"/>
        <v>PROFIT</v>
      </c>
      <c r="Q11" s="18"/>
    </row>
    <row r="12" spans="1:17" ht="21.95" customHeight="1" x14ac:dyDescent="0.25">
      <c r="A12" s="11">
        <v>9</v>
      </c>
      <c r="B12" s="12" t="s">
        <v>133</v>
      </c>
      <c r="C12" s="13">
        <v>299.5</v>
      </c>
      <c r="D12" s="20">
        <v>300</v>
      </c>
      <c r="E12" s="21" t="s">
        <v>134</v>
      </c>
      <c r="F12" s="14">
        <v>0.19600000000000001</v>
      </c>
      <c r="G12" s="14">
        <v>0.22500000000000001</v>
      </c>
      <c r="H12" s="20">
        <v>19</v>
      </c>
      <c r="I12" s="21" t="s">
        <v>121</v>
      </c>
      <c r="J12" s="21" t="s">
        <v>121</v>
      </c>
      <c r="K12" s="22">
        <v>1402</v>
      </c>
      <c r="L12" s="22">
        <v>2289</v>
      </c>
      <c r="M12" s="22">
        <v>3182</v>
      </c>
      <c r="N12" s="23">
        <f t="shared" si="0"/>
        <v>6873</v>
      </c>
      <c r="O12" s="24">
        <f t="shared" si="2"/>
        <v>89864</v>
      </c>
      <c r="P12" s="25" t="str">
        <f t="shared" si="1"/>
        <v>PROFIT</v>
      </c>
      <c r="Q12" s="18"/>
    </row>
    <row r="13" spans="1:17" ht="21.95" customHeight="1" x14ac:dyDescent="0.25">
      <c r="A13" s="11">
        <v>10</v>
      </c>
      <c r="B13" s="12" t="s">
        <v>135</v>
      </c>
      <c r="C13" s="13">
        <v>308.5</v>
      </c>
      <c r="D13" s="20">
        <v>310</v>
      </c>
      <c r="E13" s="21" t="s">
        <v>123</v>
      </c>
      <c r="F13" s="14">
        <v>0.14399999999999999</v>
      </c>
      <c r="G13" s="14">
        <v>0.16600000000000001</v>
      </c>
      <c r="H13" s="20">
        <v>20</v>
      </c>
      <c r="I13" s="21" t="s">
        <v>121</v>
      </c>
      <c r="J13" s="21" t="s">
        <v>121</v>
      </c>
      <c r="K13" s="22">
        <v>2747</v>
      </c>
      <c r="L13" s="22">
        <v>919</v>
      </c>
      <c r="M13" s="22">
        <v>1219</v>
      </c>
      <c r="N13" s="23">
        <f t="shared" si="0"/>
        <v>4885</v>
      </c>
      <c r="O13" s="24">
        <f t="shared" si="2"/>
        <v>94749</v>
      </c>
      <c r="P13" s="25" t="str">
        <f t="shared" si="1"/>
        <v>PROFIT</v>
      </c>
      <c r="Q13" s="18"/>
    </row>
    <row r="14" spans="1:17" ht="21.95" customHeight="1" x14ac:dyDescent="0.25">
      <c r="A14" s="11">
        <v>11</v>
      </c>
      <c r="B14" s="12" t="s">
        <v>136</v>
      </c>
      <c r="C14" s="13">
        <v>314</v>
      </c>
      <c r="D14" s="20">
        <v>315</v>
      </c>
      <c r="E14" s="21" t="s">
        <v>137</v>
      </c>
      <c r="F14" s="14">
        <v>0.106</v>
      </c>
      <c r="G14" s="14">
        <v>0.122</v>
      </c>
      <c r="H14" s="20">
        <v>21</v>
      </c>
      <c r="I14" s="21" t="s">
        <v>121</v>
      </c>
      <c r="J14" s="21" t="s">
        <v>121</v>
      </c>
      <c r="K14" s="22">
        <v>970</v>
      </c>
      <c r="L14" s="22">
        <v>1214</v>
      </c>
      <c r="M14" s="22">
        <v>3357</v>
      </c>
      <c r="N14" s="23">
        <f t="shared" si="0"/>
        <v>5541</v>
      </c>
      <c r="O14" s="24">
        <f t="shared" si="2"/>
        <v>100290</v>
      </c>
      <c r="P14" s="25" t="str">
        <f t="shared" si="1"/>
        <v>PROFIT</v>
      </c>
      <c r="Q14" s="18"/>
    </row>
    <row r="15" spans="1:17" ht="21.95" customHeight="1" x14ac:dyDescent="0.25">
      <c r="A15" s="11">
        <v>12</v>
      </c>
      <c r="B15" s="12"/>
      <c r="C15" s="13"/>
      <c r="D15" s="20"/>
      <c r="E15" s="21"/>
      <c r="F15" s="14"/>
      <c r="G15" s="14"/>
      <c r="H15" s="20"/>
      <c r="I15" s="21"/>
      <c r="J15" s="21"/>
      <c r="K15" s="22"/>
      <c r="L15" s="22"/>
      <c r="M15" s="22"/>
      <c r="N15" s="23" t="str">
        <f t="shared" si="0"/>
        <v/>
      </c>
      <c r="O15" s="24" t="str">
        <f t="shared" si="2"/>
        <v/>
      </c>
      <c r="P15" s="25" t="str">
        <f t="shared" si="1"/>
        <v/>
      </c>
      <c r="Q15" s="18"/>
    </row>
    <row r="16" spans="1:17" ht="21.95" customHeight="1" x14ac:dyDescent="0.25">
      <c r="A16" s="11">
        <v>13</v>
      </c>
      <c r="B16" s="12"/>
      <c r="C16" s="13"/>
      <c r="D16" s="20"/>
      <c r="E16" s="21"/>
      <c r="F16" s="14"/>
      <c r="G16" s="14"/>
      <c r="H16" s="20"/>
      <c r="I16" s="21"/>
      <c r="J16" s="21"/>
      <c r="K16" s="22"/>
      <c r="L16" s="22"/>
      <c r="M16" s="22"/>
      <c r="N16" s="23" t="str">
        <f t="shared" si="0"/>
        <v/>
      </c>
      <c r="O16" s="24" t="str">
        <f t="shared" si="2"/>
        <v/>
      </c>
      <c r="P16" s="25" t="str">
        <f t="shared" si="1"/>
        <v/>
      </c>
      <c r="Q16" s="18"/>
    </row>
    <row r="17" spans="1:17" ht="21.95" customHeight="1" x14ac:dyDescent="0.25">
      <c r="A17" s="11">
        <v>14</v>
      </c>
      <c r="B17" s="12"/>
      <c r="C17" s="13"/>
      <c r="D17" s="20"/>
      <c r="E17" s="21"/>
      <c r="F17" s="14"/>
      <c r="G17" s="14"/>
      <c r="H17" s="20"/>
      <c r="I17" s="21"/>
      <c r="J17" s="21"/>
      <c r="K17" s="22"/>
      <c r="L17" s="22"/>
      <c r="M17" s="22"/>
      <c r="N17" s="23" t="str">
        <f t="shared" si="0"/>
        <v/>
      </c>
      <c r="O17" s="24" t="str">
        <f t="shared" si="2"/>
        <v/>
      </c>
      <c r="P17" s="25" t="str">
        <f t="shared" si="1"/>
        <v/>
      </c>
      <c r="Q17" s="18"/>
    </row>
    <row r="18" spans="1:17" ht="21.95" customHeight="1" x14ac:dyDescent="0.25">
      <c r="A18" s="11">
        <v>15</v>
      </c>
      <c r="B18" s="12"/>
      <c r="C18" s="13"/>
      <c r="D18" s="20"/>
      <c r="E18" s="21"/>
      <c r="F18" s="14"/>
      <c r="G18" s="14"/>
      <c r="H18" s="20"/>
      <c r="I18" s="21"/>
      <c r="J18" s="21"/>
      <c r="K18" s="22"/>
      <c r="L18" s="22"/>
      <c r="M18" s="22"/>
      <c r="N18" s="23" t="str">
        <f t="shared" si="0"/>
        <v/>
      </c>
      <c r="O18" s="24" t="str">
        <f t="shared" si="2"/>
        <v/>
      </c>
      <c r="P18" s="25" t="str">
        <f t="shared" si="1"/>
        <v/>
      </c>
      <c r="Q18" s="18"/>
    </row>
    <row r="19" spans="1:17" ht="21.95" customHeight="1" x14ac:dyDescent="0.25">
      <c r="A19" s="11">
        <v>16</v>
      </c>
      <c r="B19" s="12"/>
      <c r="C19" s="13"/>
      <c r="D19" s="20"/>
      <c r="E19" s="21"/>
      <c r="F19" s="14"/>
      <c r="G19" s="14"/>
      <c r="H19" s="20"/>
      <c r="I19" s="21"/>
      <c r="J19" s="21"/>
      <c r="K19" s="22"/>
      <c r="L19" s="22"/>
      <c r="M19" s="22"/>
      <c r="N19" s="23" t="str">
        <f t="shared" si="0"/>
        <v/>
      </c>
      <c r="O19" s="24" t="str">
        <f t="shared" si="2"/>
        <v/>
      </c>
      <c r="P19" s="25" t="str">
        <f t="shared" si="1"/>
        <v/>
      </c>
      <c r="Q19" s="18"/>
    </row>
    <row r="20" spans="1:17" ht="21.95" customHeight="1" x14ac:dyDescent="0.25">
      <c r="A20" s="11">
        <v>17</v>
      </c>
      <c r="B20" s="12"/>
      <c r="C20" s="13"/>
      <c r="D20" s="20"/>
      <c r="E20" s="21"/>
      <c r="F20" s="14"/>
      <c r="G20" s="14"/>
      <c r="H20" s="20"/>
      <c r="I20" s="21"/>
      <c r="J20" s="21"/>
      <c r="K20" s="22"/>
      <c r="L20" s="22"/>
      <c r="M20" s="22"/>
      <c r="N20" s="23" t="str">
        <f t="shared" si="0"/>
        <v/>
      </c>
      <c r="O20" s="24" t="str">
        <f t="shared" si="2"/>
        <v/>
      </c>
      <c r="P20" s="25" t="str">
        <f t="shared" si="1"/>
        <v/>
      </c>
      <c r="Q20" s="18"/>
    </row>
    <row r="21" spans="1:17" ht="21.95" customHeight="1" x14ac:dyDescent="0.25">
      <c r="A21" s="11">
        <v>18</v>
      </c>
      <c r="B21" s="12"/>
      <c r="C21" s="13"/>
      <c r="D21" s="20"/>
      <c r="E21" s="21"/>
      <c r="F21" s="14"/>
      <c r="G21" s="14"/>
      <c r="H21" s="20"/>
      <c r="I21" s="21"/>
      <c r="J21" s="21"/>
      <c r="K21" s="22"/>
      <c r="L21" s="22"/>
      <c r="M21" s="22"/>
      <c r="N21" s="23" t="str">
        <f t="shared" si="0"/>
        <v/>
      </c>
      <c r="O21" s="24" t="str">
        <f t="shared" si="2"/>
        <v/>
      </c>
      <c r="P21" s="25" t="str">
        <f t="shared" si="1"/>
        <v/>
      </c>
      <c r="Q21" s="18"/>
    </row>
    <row r="22" spans="1:17" ht="21.95" customHeight="1" x14ac:dyDescent="0.25">
      <c r="A22" s="11">
        <v>19</v>
      </c>
      <c r="B22" s="12"/>
      <c r="C22" s="13"/>
      <c r="D22" s="20"/>
      <c r="E22" s="21"/>
      <c r="F22" s="14"/>
      <c r="G22" s="14"/>
      <c r="H22" s="20"/>
      <c r="I22" s="21"/>
      <c r="J22" s="21"/>
      <c r="K22" s="22"/>
      <c r="L22" s="22"/>
      <c r="M22" s="22"/>
      <c r="N22" s="23" t="str">
        <f t="shared" si="0"/>
        <v/>
      </c>
      <c r="O22" s="24" t="str">
        <f t="shared" si="2"/>
        <v/>
      </c>
      <c r="P22" s="25" t="str">
        <f t="shared" si="1"/>
        <v/>
      </c>
      <c r="Q22" s="18"/>
    </row>
    <row r="23" spans="1:17" ht="21.95" customHeight="1" x14ac:dyDescent="0.25">
      <c r="A23" s="11">
        <v>20</v>
      </c>
      <c r="B23" s="12"/>
      <c r="C23" s="13"/>
      <c r="D23" s="20"/>
      <c r="E23" s="21"/>
      <c r="F23" s="14"/>
      <c r="G23" s="14"/>
      <c r="H23" s="20"/>
      <c r="I23" s="21"/>
      <c r="J23" s="21"/>
      <c r="K23" s="22"/>
      <c r="L23" s="22"/>
      <c r="M23" s="22"/>
      <c r="N23" s="23" t="str">
        <f t="shared" si="0"/>
        <v/>
      </c>
      <c r="O23" s="24" t="str">
        <f t="shared" si="2"/>
        <v/>
      </c>
      <c r="P23" s="25" t="str">
        <f t="shared" si="1"/>
        <v/>
      </c>
      <c r="Q23" s="18"/>
    </row>
    <row r="24" spans="1:17" ht="21.95" customHeight="1" x14ac:dyDescent="0.25">
      <c r="A24" s="11">
        <v>21</v>
      </c>
      <c r="B24" s="12"/>
      <c r="C24" s="13"/>
      <c r="D24" s="20"/>
      <c r="E24" s="21"/>
      <c r="F24" s="14"/>
      <c r="G24" s="14"/>
      <c r="H24" s="20"/>
      <c r="I24" s="21"/>
      <c r="J24" s="21"/>
      <c r="K24" s="22"/>
      <c r="L24" s="22"/>
      <c r="M24" s="22"/>
      <c r="N24" s="23" t="str">
        <f t="shared" si="0"/>
        <v/>
      </c>
      <c r="O24" s="24" t="str">
        <f t="shared" si="2"/>
        <v/>
      </c>
      <c r="P24" s="25" t="str">
        <f t="shared" si="1"/>
        <v/>
      </c>
      <c r="Q24" s="18"/>
    </row>
    <row r="26" spans="1:17" ht="21.95" customHeight="1" x14ac:dyDescent="0.25">
      <c r="A26" s="55" t="s">
        <v>138</v>
      </c>
      <c r="B26" s="45"/>
      <c r="C26" s="45"/>
      <c r="D26" s="46"/>
    </row>
    <row r="27" spans="1:17" ht="20.100000000000001" customHeight="1" x14ac:dyDescent="0.25">
      <c r="A27" s="2" t="s">
        <v>139</v>
      </c>
      <c r="B27" s="9">
        <f>COUNTA(N4:N24)</f>
        <v>21</v>
      </c>
    </row>
    <row r="28" spans="1:17" ht="20.100000000000001" customHeight="1" x14ac:dyDescent="0.25">
      <c r="A28" s="2" t="s">
        <v>140</v>
      </c>
      <c r="B28" s="26">
        <f>IF(B27=0,"",COUNTIF(N4:N24,"&gt;0")/B27)</f>
        <v>0.47619047619047616</v>
      </c>
    </row>
    <row r="29" spans="1:17" ht="20.100000000000001" customHeight="1" x14ac:dyDescent="0.25">
      <c r="A29" s="2" t="s">
        <v>141</v>
      </c>
      <c r="B29" s="27">
        <f>IF(COUNTA(N4:N24)=0,"",SUM(N4:N24))</f>
        <v>100290</v>
      </c>
    </row>
    <row r="30" spans="1:17" ht="20.100000000000001" customHeight="1" x14ac:dyDescent="0.25">
      <c r="A30" s="2" t="s">
        <v>142</v>
      </c>
      <c r="B30" s="27">
        <f>IF(B27=0,"",AVERAGE(N4:N24))</f>
        <v>9117.2727272727279</v>
      </c>
    </row>
    <row r="31" spans="1:17" ht="20.100000000000001" customHeight="1" x14ac:dyDescent="0.25">
      <c r="A31" s="2" t="s">
        <v>143</v>
      </c>
      <c r="B31" s="27">
        <f>IF(COUNTA(O4:O24)=0,"",MIN(O4:O24))</f>
        <v>66</v>
      </c>
    </row>
    <row r="32" spans="1:17" ht="20.100000000000001" customHeight="1" x14ac:dyDescent="0.25">
      <c r="A32" s="2" t="s">
        <v>144</v>
      </c>
      <c r="B32" s="27">
        <f>IF(COUNTA(N4:N24)=0,"",MAX(N4:N24))</f>
        <v>30214</v>
      </c>
    </row>
    <row r="33" spans="1:2" ht="20.100000000000001" customHeight="1" x14ac:dyDescent="0.25">
      <c r="A33" s="2" t="s">
        <v>145</v>
      </c>
      <c r="B33" s="27">
        <f>IF(COUNTA(N4:N24)=0,"",MIN(N4:N24))</f>
        <v>-6477</v>
      </c>
    </row>
    <row r="34" spans="1:2" ht="20.100000000000001" customHeight="1" x14ac:dyDescent="0.25">
      <c r="A34" s="2" t="s">
        <v>146</v>
      </c>
      <c r="B34" s="8">
        <f>IF(SUMIF(N4:N24,"&lt;0")=0,"INF",SUMIF(N4:N24,"&gt;0")/ABS(SUMIF(N4:N24,"&lt;0")))</f>
        <v>16.484020379805465</v>
      </c>
    </row>
  </sheetData>
  <mergeCells count="3">
    <mergeCell ref="A2:Q2"/>
    <mergeCell ref="A1:Q1"/>
    <mergeCell ref="A26:D26"/>
  </mergeCells>
  <conditionalFormatting sqref="N4:N24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O4:O24">
    <cfRule type="colorScale" priority="3">
      <colorScale>
        <cfvo type="min"/>
        <cfvo type="num" val="0"/>
        <cfvo type="max"/>
        <color rgb="FFEF553B"/>
        <color rgb="FF2D2D44"/>
        <color rgb="FF00CC96"/>
      </colorScale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H31"/>
  <sheetViews>
    <sheetView showGridLines="0" workbookViewId="0"/>
  </sheetViews>
  <sheetFormatPr defaultRowHeight="15" x14ac:dyDescent="0.25"/>
  <cols>
    <col min="1" max="1" width="24" customWidth="1"/>
    <col min="2" max="7" width="14" customWidth="1"/>
    <col min="8" max="8" width="20" customWidth="1"/>
  </cols>
  <sheetData>
    <row r="1" spans="1:8" ht="32.1" customHeight="1" x14ac:dyDescent="0.25">
      <c r="A1" s="67" t="s">
        <v>147</v>
      </c>
      <c r="B1" s="45"/>
      <c r="C1" s="45"/>
      <c r="D1" s="45"/>
      <c r="E1" s="45"/>
      <c r="F1" s="45"/>
      <c r="G1" s="45"/>
      <c r="H1" s="46"/>
    </row>
    <row r="2" spans="1:8" ht="15.95" customHeight="1" x14ac:dyDescent="0.25">
      <c r="A2" s="64" t="s">
        <v>148</v>
      </c>
      <c r="B2" s="45"/>
      <c r="C2" s="45"/>
      <c r="D2" s="45"/>
      <c r="E2" s="45"/>
      <c r="F2" s="45"/>
      <c r="G2" s="45"/>
      <c r="H2" s="46"/>
    </row>
    <row r="4" spans="1:8" ht="39.950000000000003" customHeight="1" x14ac:dyDescent="0.25">
      <c r="A4" s="10" t="s">
        <v>149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154</v>
      </c>
      <c r="G4" s="10" t="s">
        <v>155</v>
      </c>
      <c r="H4" s="10" t="s">
        <v>156</v>
      </c>
    </row>
    <row r="5" spans="1:8" ht="24" customHeight="1" x14ac:dyDescent="0.25">
      <c r="A5" s="28" t="s">
        <v>157</v>
      </c>
      <c r="B5" s="29" t="s">
        <v>158</v>
      </c>
      <c r="C5" s="30" t="s">
        <v>159</v>
      </c>
      <c r="D5" s="31" t="s">
        <v>160</v>
      </c>
      <c r="E5" s="31" t="s">
        <v>160</v>
      </c>
      <c r="F5" s="31" t="s">
        <v>160</v>
      </c>
      <c r="G5" s="31" t="s">
        <v>160</v>
      </c>
      <c r="H5" s="32" t="s">
        <v>161</v>
      </c>
    </row>
    <row r="6" spans="1:8" ht="24" customHeight="1" x14ac:dyDescent="0.25">
      <c r="A6" s="28" t="s">
        <v>162</v>
      </c>
      <c r="B6" s="29" t="s">
        <v>158</v>
      </c>
      <c r="C6" s="29" t="s">
        <v>158</v>
      </c>
      <c r="D6" s="30" t="s">
        <v>163</v>
      </c>
      <c r="E6" s="30" t="s">
        <v>163</v>
      </c>
      <c r="F6" s="29" t="s">
        <v>158</v>
      </c>
      <c r="G6" s="30" t="s">
        <v>163</v>
      </c>
      <c r="H6" s="32" t="s">
        <v>164</v>
      </c>
    </row>
    <row r="7" spans="1:8" ht="24" customHeight="1" x14ac:dyDescent="0.25">
      <c r="A7" s="28" t="s">
        <v>165</v>
      </c>
      <c r="B7" s="29" t="s">
        <v>166</v>
      </c>
      <c r="C7" s="31" t="s">
        <v>160</v>
      </c>
      <c r="D7" s="31" t="s">
        <v>160</v>
      </c>
      <c r="E7" s="30" t="s">
        <v>159</v>
      </c>
      <c r="F7" s="31" t="s">
        <v>160</v>
      </c>
      <c r="G7" s="31" t="s">
        <v>160</v>
      </c>
      <c r="H7" s="32" t="s">
        <v>167</v>
      </c>
    </row>
    <row r="8" spans="1:8" ht="24" customHeight="1" x14ac:dyDescent="0.25">
      <c r="A8" s="28" t="s">
        <v>168</v>
      </c>
      <c r="B8" s="29" t="s">
        <v>158</v>
      </c>
      <c r="C8" s="31" t="s">
        <v>160</v>
      </c>
      <c r="D8" s="31" t="s">
        <v>160</v>
      </c>
      <c r="E8" s="30" t="s">
        <v>169</v>
      </c>
      <c r="F8" s="31" t="s">
        <v>160</v>
      </c>
      <c r="G8" s="31" t="s">
        <v>160</v>
      </c>
      <c r="H8" s="32" t="s">
        <v>170</v>
      </c>
    </row>
    <row r="9" spans="1:8" ht="24" customHeight="1" x14ac:dyDescent="0.25">
      <c r="A9" s="28" t="s">
        <v>171</v>
      </c>
      <c r="B9" s="29" t="s">
        <v>158</v>
      </c>
      <c r="C9" s="31" t="s">
        <v>160</v>
      </c>
      <c r="D9" s="31" t="s">
        <v>160</v>
      </c>
      <c r="E9" s="31" t="s">
        <v>160</v>
      </c>
      <c r="F9" s="31" t="s">
        <v>160</v>
      </c>
      <c r="G9" s="31" t="s">
        <v>160</v>
      </c>
      <c r="H9" s="32" t="s">
        <v>172</v>
      </c>
    </row>
    <row r="10" spans="1:8" ht="24" customHeight="1" x14ac:dyDescent="0.25">
      <c r="A10" s="28" t="s">
        <v>173</v>
      </c>
      <c r="B10" s="29" t="s">
        <v>158</v>
      </c>
      <c r="C10" s="31" t="s">
        <v>160</v>
      </c>
      <c r="D10" s="29" t="s">
        <v>158</v>
      </c>
      <c r="E10" s="31" t="s">
        <v>160</v>
      </c>
      <c r="F10" s="31" t="s">
        <v>160</v>
      </c>
      <c r="G10" s="31" t="s">
        <v>160</v>
      </c>
      <c r="H10" s="32" t="s">
        <v>174</v>
      </c>
    </row>
    <row r="11" spans="1:8" ht="24" customHeight="1" x14ac:dyDescent="0.25">
      <c r="A11" s="28" t="s">
        <v>175</v>
      </c>
      <c r="B11" s="31" t="s">
        <v>160</v>
      </c>
      <c r="C11" s="31" t="s">
        <v>160</v>
      </c>
      <c r="D11" s="31" t="s">
        <v>160</v>
      </c>
      <c r="E11" s="30" t="s">
        <v>159</v>
      </c>
      <c r="F11" s="29" t="s">
        <v>158</v>
      </c>
      <c r="G11" s="29" t="s">
        <v>158</v>
      </c>
      <c r="H11" s="32" t="s">
        <v>176</v>
      </c>
    </row>
    <row r="12" spans="1:8" ht="24" customHeight="1" x14ac:dyDescent="0.25">
      <c r="A12" s="28" t="s">
        <v>177</v>
      </c>
      <c r="B12" s="31" t="s">
        <v>160</v>
      </c>
      <c r="C12" s="31" t="s">
        <v>160</v>
      </c>
      <c r="D12" s="31" t="s">
        <v>160</v>
      </c>
      <c r="E12" s="31" t="s">
        <v>160</v>
      </c>
      <c r="F12" s="31" t="s">
        <v>160</v>
      </c>
      <c r="G12" s="31" t="s">
        <v>160</v>
      </c>
      <c r="H12" s="32" t="s">
        <v>178</v>
      </c>
    </row>
    <row r="13" spans="1:8" ht="24" customHeight="1" x14ac:dyDescent="0.25">
      <c r="A13" s="28" t="s">
        <v>179</v>
      </c>
      <c r="B13" s="31" t="s">
        <v>160</v>
      </c>
      <c r="C13" s="31" t="s">
        <v>160</v>
      </c>
      <c r="D13" s="31" t="s">
        <v>160</v>
      </c>
      <c r="E13" s="31" t="s">
        <v>160</v>
      </c>
      <c r="F13" s="30" t="s">
        <v>180</v>
      </c>
      <c r="G13" s="29" t="s">
        <v>158</v>
      </c>
      <c r="H13" s="32" t="s">
        <v>181</v>
      </c>
    </row>
    <row r="15" spans="1:8" ht="26.1" customHeight="1" x14ac:dyDescent="0.25">
      <c r="A15" s="68" t="s">
        <v>21</v>
      </c>
      <c r="B15" s="45"/>
      <c r="C15" s="45"/>
      <c r="D15" s="45"/>
      <c r="E15" s="45"/>
      <c r="F15" s="45"/>
      <c r="G15" s="45"/>
      <c r="H15" s="46"/>
    </row>
    <row r="16" spans="1:8" ht="20.100000000000001" customHeight="1" x14ac:dyDescent="0.25">
      <c r="A16" s="66" t="s">
        <v>182</v>
      </c>
      <c r="B16" s="45"/>
      <c r="C16" s="45"/>
      <c r="D16" s="45"/>
      <c r="E16" s="45"/>
      <c r="F16" s="45"/>
      <c r="G16" s="45"/>
      <c r="H16" s="46"/>
    </row>
    <row r="17" spans="1:8" ht="20.100000000000001" customHeight="1" x14ac:dyDescent="0.25">
      <c r="A17" s="66" t="s">
        <v>183</v>
      </c>
      <c r="B17" s="45"/>
      <c r="C17" s="45"/>
      <c r="D17" s="45"/>
      <c r="E17" s="45"/>
      <c r="F17" s="45"/>
      <c r="G17" s="45"/>
      <c r="H17" s="46"/>
    </row>
    <row r="18" spans="1:8" ht="20.100000000000001" customHeight="1" x14ac:dyDescent="0.25">
      <c r="A18" s="66" t="s">
        <v>184</v>
      </c>
      <c r="B18" s="45"/>
      <c r="C18" s="45"/>
      <c r="D18" s="45"/>
      <c r="E18" s="45"/>
      <c r="F18" s="45"/>
      <c r="G18" s="45"/>
      <c r="H18" s="46"/>
    </row>
    <row r="19" spans="1:8" ht="20.100000000000001" customHeight="1" x14ac:dyDescent="0.25">
      <c r="A19" s="66" t="s">
        <v>185</v>
      </c>
      <c r="B19" s="45"/>
      <c r="C19" s="45"/>
      <c r="D19" s="45"/>
      <c r="E19" s="45"/>
      <c r="F19" s="45"/>
      <c r="G19" s="45"/>
      <c r="H19" s="46"/>
    </row>
    <row r="20" spans="1:8" ht="20.100000000000001" customHeight="1" x14ac:dyDescent="0.25">
      <c r="A20" s="66" t="s">
        <v>186</v>
      </c>
      <c r="B20" s="45"/>
      <c r="C20" s="45"/>
      <c r="D20" s="45"/>
      <c r="E20" s="45"/>
      <c r="F20" s="45"/>
      <c r="G20" s="45"/>
      <c r="H20" s="46"/>
    </row>
    <row r="21" spans="1:8" ht="20.100000000000001" customHeight="1" x14ac:dyDescent="0.25">
      <c r="A21" s="66" t="s">
        <v>187</v>
      </c>
      <c r="B21" s="45"/>
      <c r="C21" s="45"/>
      <c r="D21" s="45"/>
      <c r="E21" s="45"/>
      <c r="F21" s="45"/>
      <c r="G21" s="45"/>
      <c r="H21" s="46"/>
    </row>
    <row r="22" spans="1:8" ht="20.100000000000001" customHeight="1" x14ac:dyDescent="0.25">
      <c r="A22" s="66" t="s">
        <v>188</v>
      </c>
      <c r="B22" s="45"/>
      <c r="C22" s="45"/>
      <c r="D22" s="45"/>
      <c r="E22" s="45"/>
      <c r="F22" s="45"/>
      <c r="G22" s="45"/>
      <c r="H22" s="46"/>
    </row>
    <row r="23" spans="1:8" ht="20.100000000000001" customHeight="1" x14ac:dyDescent="0.25">
      <c r="A23" s="66" t="s">
        <v>189</v>
      </c>
      <c r="B23" s="45"/>
      <c r="C23" s="45"/>
      <c r="D23" s="45"/>
      <c r="E23" s="45"/>
      <c r="F23" s="45"/>
      <c r="G23" s="45"/>
      <c r="H23" s="46"/>
    </row>
    <row r="25" spans="1:8" ht="21.95" customHeight="1" x14ac:dyDescent="0.25">
      <c r="A25" s="54" t="s">
        <v>190</v>
      </c>
      <c r="B25" s="45"/>
      <c r="C25" s="45"/>
      <c r="D25" s="45"/>
      <c r="E25" s="45"/>
      <c r="F25" s="45"/>
      <c r="G25" s="45"/>
      <c r="H25" s="46"/>
    </row>
    <row r="26" spans="1:8" ht="20.100000000000001" customHeight="1" x14ac:dyDescent="0.25">
      <c r="A26" s="65" t="s">
        <v>191</v>
      </c>
      <c r="B26" s="45"/>
      <c r="C26" s="45"/>
      <c r="D26" s="45"/>
      <c r="E26" s="45"/>
      <c r="F26" s="45"/>
      <c r="G26" s="45"/>
      <c r="H26" s="46"/>
    </row>
    <row r="27" spans="1:8" ht="20.100000000000001" customHeight="1" x14ac:dyDescent="0.25">
      <c r="A27" s="65" t="s">
        <v>192</v>
      </c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65" t="s">
        <v>193</v>
      </c>
      <c r="B28" s="45"/>
      <c r="C28" s="45"/>
      <c r="D28" s="45"/>
      <c r="E28" s="45"/>
      <c r="F28" s="45"/>
      <c r="G28" s="45"/>
      <c r="H28" s="46"/>
    </row>
    <row r="29" spans="1:8" ht="20.100000000000001" customHeight="1" x14ac:dyDescent="0.25">
      <c r="A29" s="65" t="s">
        <v>194</v>
      </c>
      <c r="B29" s="45"/>
      <c r="C29" s="45"/>
      <c r="D29" s="45"/>
      <c r="E29" s="45"/>
      <c r="F29" s="45"/>
      <c r="G29" s="45"/>
      <c r="H29" s="46"/>
    </row>
    <row r="31" spans="1:8" x14ac:dyDescent="0.25">
      <c r="A31" s="36" t="s">
        <v>195</v>
      </c>
      <c r="B31" s="62" t="str">
        <f>Dashbord!I16</f>
        <v>ФАЗА 1: базовый кондор</v>
      </c>
      <c r="C31" s="45"/>
      <c r="D31" s="45"/>
      <c r="E31" s="45"/>
      <c r="F31" s="45"/>
      <c r="G31" s="45"/>
      <c r="H31" s="46"/>
    </row>
  </sheetData>
  <mergeCells count="17">
    <mergeCell ref="A16:H16"/>
    <mergeCell ref="A2:H2"/>
    <mergeCell ref="A28:H28"/>
    <mergeCell ref="B31:H31"/>
    <mergeCell ref="A19:H19"/>
    <mergeCell ref="A1:H1"/>
    <mergeCell ref="A23:H23"/>
    <mergeCell ref="A27:H27"/>
    <mergeCell ref="A22:H22"/>
    <mergeCell ref="A17:H17"/>
    <mergeCell ref="A18:H18"/>
    <mergeCell ref="A26:H26"/>
    <mergeCell ref="A21:H21"/>
    <mergeCell ref="A15:H15"/>
    <mergeCell ref="A29:H29"/>
    <mergeCell ref="A25:H25"/>
    <mergeCell ref="A20:H20"/>
  </mergeCells>
  <conditionalFormatting sqref="B31:H31">
    <cfRule type="expression" dxfId="1" priority="1">
      <formula>ISNUMBER(SEARCH("ФАЗА 2",B31))</formula>
    </cfRule>
    <cfRule type="expression" dxfId="0" priority="2">
      <formula>ISNUMBER(SEARCH("ФАЗА 1",B31))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B28"/>
  <sheetViews>
    <sheetView showGridLines="0" workbookViewId="0"/>
  </sheetViews>
  <sheetFormatPr defaultRowHeight="15" x14ac:dyDescent="0.25"/>
  <cols>
    <col min="1" max="1" width="10" customWidth="1"/>
    <col min="2" max="2" width="95" customWidth="1"/>
  </cols>
  <sheetData>
    <row r="1" spans="1:2" ht="32.1" customHeight="1" x14ac:dyDescent="0.25">
      <c r="A1" s="67" t="s">
        <v>196</v>
      </c>
      <c r="B1" s="46"/>
    </row>
    <row r="3" spans="1:2" ht="21.95" customHeight="1" x14ac:dyDescent="0.25">
      <c r="A3" s="70" t="s">
        <v>197</v>
      </c>
      <c r="B3" s="46"/>
    </row>
    <row r="4" spans="1:2" ht="32.1" customHeight="1" x14ac:dyDescent="0.25">
      <c r="A4" s="69" t="s">
        <v>198</v>
      </c>
      <c r="B4" s="46"/>
    </row>
    <row r="6" spans="1:2" ht="21.95" customHeight="1" x14ac:dyDescent="0.25">
      <c r="A6" s="70" t="s">
        <v>199</v>
      </c>
      <c r="B6" s="46"/>
    </row>
    <row r="7" spans="1:2" ht="63.95" customHeight="1" x14ac:dyDescent="0.25">
      <c r="A7" s="69" t="s">
        <v>200</v>
      </c>
      <c r="B7" s="46"/>
    </row>
    <row r="9" spans="1:2" ht="21.95" customHeight="1" x14ac:dyDescent="0.25">
      <c r="A9" s="70" t="s">
        <v>201</v>
      </c>
      <c r="B9" s="46"/>
    </row>
    <row r="10" spans="1:2" ht="63.95" customHeight="1" x14ac:dyDescent="0.25">
      <c r="A10" s="69" t="s">
        <v>202</v>
      </c>
      <c r="B10" s="46"/>
    </row>
    <row r="12" spans="1:2" ht="21.95" customHeight="1" x14ac:dyDescent="0.25">
      <c r="A12" s="70" t="s">
        <v>203</v>
      </c>
      <c r="B12" s="46"/>
    </row>
    <row r="13" spans="1:2" ht="63.95" customHeight="1" x14ac:dyDescent="0.25">
      <c r="A13" s="69" t="s">
        <v>204</v>
      </c>
      <c r="B13" s="46"/>
    </row>
    <row r="15" spans="1:2" ht="21.95" customHeight="1" x14ac:dyDescent="0.25">
      <c r="A15" s="70" t="s">
        <v>205</v>
      </c>
      <c r="B15" s="46"/>
    </row>
    <row r="16" spans="1:2" ht="48" customHeight="1" x14ac:dyDescent="0.25">
      <c r="A16" s="69" t="s">
        <v>206</v>
      </c>
      <c r="B16" s="46"/>
    </row>
    <row r="18" spans="1:2" ht="21.95" customHeight="1" x14ac:dyDescent="0.25">
      <c r="A18" s="70" t="s">
        <v>207</v>
      </c>
      <c r="B18" s="46"/>
    </row>
    <row r="19" spans="1:2" ht="48" customHeight="1" x14ac:dyDescent="0.25">
      <c r="A19" s="69" t="s">
        <v>208</v>
      </c>
      <c r="B19" s="46"/>
    </row>
    <row r="21" spans="1:2" ht="21.95" customHeight="1" x14ac:dyDescent="0.25">
      <c r="A21" s="70" t="s">
        <v>209</v>
      </c>
      <c r="B21" s="46"/>
    </row>
    <row r="22" spans="1:2" ht="96" customHeight="1" x14ac:dyDescent="0.25">
      <c r="A22" s="69" t="s">
        <v>210</v>
      </c>
      <c r="B22" s="46"/>
    </row>
    <row r="24" spans="1:2" ht="21.95" customHeight="1" x14ac:dyDescent="0.25">
      <c r="A24" s="70" t="s">
        <v>211</v>
      </c>
      <c r="B24" s="46"/>
    </row>
    <row r="25" spans="1:2" ht="63.95" customHeight="1" x14ac:dyDescent="0.25">
      <c r="A25" s="69" t="s">
        <v>212</v>
      </c>
      <c r="B25" s="46"/>
    </row>
    <row r="27" spans="1:2" ht="21.95" customHeight="1" x14ac:dyDescent="0.25">
      <c r="A27" s="70" t="s">
        <v>213</v>
      </c>
      <c r="B27" s="46"/>
    </row>
    <row r="28" spans="1:2" ht="96" customHeight="1" x14ac:dyDescent="0.25">
      <c r="A28" s="69" t="s">
        <v>214</v>
      </c>
      <c r="B28" s="46"/>
    </row>
  </sheetData>
  <mergeCells count="19">
    <mergeCell ref="A1:B1"/>
    <mergeCell ref="A6:B6"/>
    <mergeCell ref="A16:B16"/>
    <mergeCell ref="A7:B7"/>
    <mergeCell ref="A3:B3"/>
    <mergeCell ref="A12:B12"/>
    <mergeCell ref="A21:B21"/>
    <mergeCell ref="A22:B22"/>
    <mergeCell ref="A4:B4"/>
    <mergeCell ref="A19:B19"/>
    <mergeCell ref="A10:B10"/>
    <mergeCell ref="A15:B15"/>
    <mergeCell ref="A28:B28"/>
    <mergeCell ref="A13:B13"/>
    <mergeCell ref="A9:B9"/>
    <mergeCell ref="A25:B25"/>
    <mergeCell ref="A18:B18"/>
    <mergeCell ref="A27:B27"/>
    <mergeCell ref="A24:B24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A10"/>
  <sheetViews>
    <sheetView workbookViewId="0"/>
  </sheetViews>
  <sheetFormatPr defaultRowHeight="15" x14ac:dyDescent="0.25"/>
  <cols>
    <col min="1" max="1" width="120" customWidth="1"/>
  </cols>
  <sheetData>
    <row r="1" spans="1:1" x14ac:dyDescent="0.25">
      <c r="A1" t="s">
        <v>215</v>
      </c>
    </row>
    <row r="2" spans="1:1" x14ac:dyDescent="0.25">
      <c r="A2" t="s">
        <v>216</v>
      </c>
    </row>
    <row r="4" spans="1:1" x14ac:dyDescent="0.25">
      <c r="A4" t="s">
        <v>217</v>
      </c>
    </row>
    <row r="5" spans="1:1" x14ac:dyDescent="0.25">
      <c r="A5" t="s">
        <v>218</v>
      </c>
    </row>
    <row r="6" spans="1:1" x14ac:dyDescent="0.25">
      <c r="A6" t="s">
        <v>219</v>
      </c>
    </row>
    <row r="7" spans="1:1" x14ac:dyDescent="0.25">
      <c r="A7" t="s">
        <v>220</v>
      </c>
    </row>
    <row r="8" spans="1:1" x14ac:dyDescent="0.25">
      <c r="A8" t="s">
        <v>221</v>
      </c>
    </row>
    <row r="10" spans="1:1" x14ac:dyDescent="0.25">
      <c r="A10" t="s">
        <v>222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Диаграммы</vt:lpstr>
      </vt:variant>
      <vt:variant>
        <vt:i4>1</vt:i4>
      </vt:variant>
    </vt:vector>
  </HeadingPairs>
  <TitlesOfParts>
    <vt:vector size="8" baseType="lpstr">
      <vt:lpstr>Dashbord</vt:lpstr>
      <vt:lpstr>Journal</vt:lpstr>
      <vt:lpstr>Calc_PnL</vt:lpstr>
      <vt:lpstr>Cycles</vt:lpstr>
      <vt:lpstr>Decision Map</vt:lpstr>
      <vt:lpstr>Guide</vt:lpstr>
      <vt:lpstr>VBA_Setup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Алексей Дубровских</cp:lastModifiedBy>
  <dcterms:created xsi:type="dcterms:W3CDTF">2026-04-12T04:49:35Z</dcterms:created>
  <dcterms:modified xsi:type="dcterms:W3CDTF">2026-04-14T17:28:27Z</dcterms:modified>
</cp:coreProperties>
</file>