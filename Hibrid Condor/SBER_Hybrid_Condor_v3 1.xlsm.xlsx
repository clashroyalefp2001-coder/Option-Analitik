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Project\Option Analitik\"/>
    </mc:Choice>
  </mc:AlternateContent>
  <xr:revisionPtr revIDLastSave="0" documentId="13_ncr:20001_{19B983FE-DE66-47EF-8B50-189FFC724E9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ашборд" sheetId="1" r:id="rId1"/>
    <sheet name="Журнал" sheetId="2" r:id="rId2"/>
    <sheet name="Калькулятор" sheetId="3" r:id="rId3"/>
    <sheet name="Циклы" sheetId="4" r:id="rId4"/>
    <sheet name="Карта решений" sheetId="5" r:id="rId5"/>
    <sheet name="Инструкция" sheetId="6" r:id="rId6"/>
    <sheet name="VBA_Макрос" sheetId="7" r:id="rId7"/>
  </sheets>
  <calcPr calcId="191029"/>
  <fileRecoveryPr repairLoad="1"/>
</workbook>
</file>

<file path=xl/calcChain.xml><?xml version="1.0" encoding="utf-8"?>
<calcChain xmlns="http://schemas.openxmlformats.org/spreadsheetml/2006/main">
  <c r="J14" i="4" l="1"/>
  <c r="C29" i="1"/>
  <c r="E6" i="1"/>
  <c r="D39" i="3"/>
  <c r="E39" i="3" s="1"/>
  <c r="D38" i="3"/>
  <c r="E38" i="3" s="1"/>
  <c r="D37" i="3"/>
  <c r="E37" i="3" s="1"/>
  <c r="D36" i="3"/>
  <c r="E36" i="3" s="1"/>
  <c r="E35" i="3"/>
  <c r="D35" i="3"/>
  <c r="D34" i="3"/>
  <c r="E34" i="3" s="1"/>
  <c r="D33" i="3"/>
  <c r="E33" i="3" s="1"/>
  <c r="D32" i="3"/>
  <c r="E32" i="3" s="1"/>
  <c r="E31" i="3"/>
  <c r="D31" i="3"/>
  <c r="D30" i="3"/>
  <c r="E30" i="3" s="1"/>
  <c r="D29" i="3"/>
  <c r="E29" i="3" s="1"/>
  <c r="D28" i="3"/>
  <c r="E28" i="3" s="1"/>
  <c r="E27" i="3"/>
  <c r="D27" i="3"/>
  <c r="D26" i="3"/>
  <c r="E26" i="3" s="1"/>
  <c r="D25" i="3"/>
  <c r="E25" i="3" s="1"/>
  <c r="D24" i="3"/>
  <c r="E24" i="3" s="1"/>
  <c r="E23" i="3"/>
  <c r="D23" i="3"/>
  <c r="D22" i="3"/>
  <c r="E22" i="3" s="1"/>
  <c r="D21" i="3"/>
  <c r="E21" i="3" s="1"/>
  <c r="D20" i="3"/>
  <c r="E20" i="3" s="1"/>
  <c r="E19" i="3"/>
  <c r="D19" i="3"/>
  <c r="D18" i="3"/>
  <c r="E18" i="3" s="1"/>
  <c r="D17" i="3"/>
  <c r="E17" i="3" s="1"/>
  <c r="D16" i="3"/>
  <c r="E16" i="3" s="1"/>
  <c r="E15" i="3"/>
  <c r="D15" i="3"/>
  <c r="D14" i="3"/>
  <c r="E14" i="3" s="1"/>
  <c r="D13" i="3"/>
  <c r="E13" i="3" s="1"/>
  <c r="G9" i="3"/>
  <c r="C8" i="3"/>
  <c r="P60" i="2"/>
  <c r="C43" i="1"/>
  <c r="C42" i="1"/>
  <c r="C41" i="1"/>
  <c r="C39" i="1"/>
  <c r="C18" i="1"/>
  <c r="C17" i="1"/>
  <c r="C16" i="1"/>
</calcChain>
</file>

<file path=xl/sharedStrings.xml><?xml version="1.0" encoding="utf-8"?>
<sst xmlns="http://schemas.openxmlformats.org/spreadsheetml/2006/main" count="381" uniqueCount="290">
  <si>
    <t>⚡  ГИБРИДНЫЙ КОНДОР v2 — ТОРГОВЫЙ ДАШБОРД</t>
  </si>
  <si>
    <t>SBER | BUY PUT 305 / SELL PUT 315 / BUY CALL 320 / SELL CALL 330 + Акции SBER</t>
  </si>
  <si>
    <t>📋  ТЕКУЩАЯ ПОЗИЦИЯ</t>
  </si>
  <si>
    <t>📊  РЫНОЧНЫЕ ДАННЫЕ (вводить вручную каждый день)</t>
  </si>
  <si>
    <t>BUY PUT страйк</t>
  </si>
  <si>
    <t>Дата</t>
  </si>
  <si>
    <t>Авто</t>
  </si>
  <si>
    <t>SELL PUT страйк</t>
  </si>
  <si>
    <t>Close</t>
  </si>
  <si>
    <t>Цена закрытия акции SBER</t>
  </si>
  <si>
    <t>BUY CALL страйк</t>
  </si>
  <si>
    <t>High</t>
  </si>
  <si>
    <t>Максимум дня акции SBER</t>
  </si>
  <si>
    <t>SELL CALL страйк</t>
  </si>
  <si>
    <t>Low</t>
  </si>
  <si>
    <t>Минимум дня акции SBER</t>
  </si>
  <si>
    <t>Акции (шт.)</t>
  </si>
  <si>
    <t>PrevClose</t>
  </si>
  <si>
    <t>Закрытие вчера (акция SBER)</t>
  </si>
  <si>
    <t>Цена входа акций</t>
  </si>
  <si>
    <t>IV (%)</t>
  </si>
  <si>
    <t>Implied Vol ATM-опцион (%)</t>
  </si>
  <si>
    <t>Центр-страйк</t>
  </si>
  <si>
    <t>Дата экспирации</t>
  </si>
  <si>
    <t>09.05.2026</t>
  </si>
  <si>
    <t>🔢  РАСЧЁТНЫЕ ПОКАЗАТЕЛИ (автоматически)</t>
  </si>
  <si>
    <t>R = High − Low</t>
  </si>
  <si>
    <t>РЕЖИМ РЫНКА</t>
  </si>
  <si>
    <t>Momentum</t>
  </si>
  <si>
    <t>Продавать CALL?</t>
  </si>
  <si>
    <t>Δ (откл. от центра)</t>
  </si>
  <si>
    <t>Продавать PUT?</t>
  </si>
  <si>
    <t>⚡  ФАЗА 2 — ROLL ATM CALL (откуп 330 + продажа 315)</t>
  </si>
  <si>
    <t>Флэт-дней (введи вручную)</t>
  </si>
  <si>
    <t>Активировать Roll?</t>
  </si>
  <si>
    <t>💰  P&amp;L ПОЗИЦИИ</t>
  </si>
  <si>
    <t>Пр. CALL 320 (введи)</t>
  </si>
  <si>
    <t>▶ Вводить премию от продажи каждой ноги</t>
  </si>
  <si>
    <t>Пр. PUT 315 (введи)</t>
  </si>
  <si>
    <t>Пр. откуп CALL 330</t>
  </si>
  <si>
    <t>Пр. продажи CALL 315</t>
  </si>
  <si>
    <t>Пр. пут-спреда</t>
  </si>
  <si>
    <t>📊 ИТОГО P&amp;L (руб.)</t>
  </si>
  <si>
    <t>P&amp;L %</t>
  </si>
  <si>
    <t>🚫  ЖЁСТКИЕ ЗАПРЕТЫ</t>
  </si>
  <si>
    <t>❌ R &gt; 12 руб →</t>
  </si>
  <si>
    <t>НЕ ТОРГОВАТЬ сегодня</t>
  </si>
  <si>
    <t>❌ После падения &gt; 10 руб →</t>
  </si>
  <si>
    <t>НЕ продавать PUT 2 дня</t>
  </si>
  <si>
    <t>❌ После роста &gt; 10 руб →</t>
  </si>
  <si>
    <t>НЕ продавать CALL 1-2 дня</t>
  </si>
  <si>
    <t>❌ Перед новостями →</t>
  </si>
  <si>
    <t>НЕ открывать новые позиции</t>
  </si>
  <si>
    <t>❌ Цена у страйка →</t>
  </si>
  <si>
    <t>Частично закрыть позицию</t>
  </si>
  <si>
    <t>📌  ТЕКУЩАЯ СТРАТЕГИЯ</t>
  </si>
  <si>
    <t>РЕЖИМ</t>
  </si>
  <si>
    <t>ФАЗА</t>
  </si>
  <si>
    <t>ДЕЙСТВИЕ CALL</t>
  </si>
  <si>
    <t>ДЕЙСТВИЕ PUT</t>
  </si>
  <si>
    <t>ROLL ATM</t>
  </si>
  <si>
    <t>Выход при P&amp;L</t>
  </si>
  <si>
    <t>≥70% или за 2 дня до экспирации</t>
  </si>
  <si>
    <t>ℹ️  Close/High/Low/PrevClose = ДНЕВНЫЕ цены акции SBER.  IV = имплайд-волатильность ATM-опциона на SBER.</t>
  </si>
  <si>
    <t>🔘  КНОПКИ (подключить через Alt+F11 → Вставить модуль → вставить код с листа 'VBA_Макрос')</t>
  </si>
  <si>
    <t>Кнопка «Обновить данные»</t>
  </si>
  <si>
    <t>Копирует текущие данные Дашборда в следующую строку Журнала</t>
  </si>
  <si>
    <t>Кнопка «Записать P&amp;L»</t>
  </si>
  <si>
    <t>Дозаписывает P&amp;L из Дашборда в последнюю строку Журнала</t>
  </si>
  <si>
    <t>Кнопка «Новый цикл»</t>
  </si>
  <si>
    <t>Фиксирует итог цикла в листе Циклы с накопительным P&amp;L</t>
  </si>
  <si>
    <t>📒  ЕЖЕДНЕВНЫЙ ЖУРНАЛ ТОРГОВЛИ — SBER Гибридный Кондор v2</t>
  </si>
  <si>
    <t>РЫНОЧНЫЕ ДАННЫЕ (акция SBER)</t>
  </si>
  <si>
    <t>РАСЧЁТЫ</t>
  </si>
  <si>
    <t>СИГНАЛЫ</t>
  </si>
  <si>
    <t>P&amp;L (руб.)</t>
  </si>
  <si>
    <t>Prev
Close</t>
  </si>
  <si>
    <t>IV %</t>
  </si>
  <si>
    <t>R=H-L</t>
  </si>
  <si>
    <t>Δ центр</t>
  </si>
  <si>
    <t>CALL?</t>
  </si>
  <si>
    <t>PUT?</t>
  </si>
  <si>
    <t>Пр.CALL</t>
  </si>
  <si>
    <t>Пр.PUT</t>
  </si>
  <si>
    <t>Итого</t>
  </si>
  <si>
    <t>ИТОГО P&amp;L:</t>
  </si>
  <si>
    <t>🔧  КАЛЬКУЛЯТОР СТОИМОСТИ НОГ + ПРОФИЛЬ P&amp;L</t>
  </si>
  <si>
    <t>📐  ПАРАМЕТРЫ ЧЕРНОГО-ШОУЛЗА (вводить вручную)</t>
  </si>
  <si>
    <t>S — Цена акции</t>
  </si>
  <si>
    <t>Нога</t>
  </si>
  <si>
    <t>Страйк</t>
  </si>
  <si>
    <t>Тип</t>
  </si>
  <si>
    <t>Цена BS</t>
  </si>
  <si>
    <t>BUY/SELL</t>
  </si>
  <si>
    <t>σ — Vol (IV, дробь)</t>
  </si>
  <si>
    <t>BUY PUT 305</t>
  </si>
  <si>
    <t>PUT</t>
  </si>
  <si>
    <t>BUY</t>
  </si>
  <si>
    <t>r — Ставка (дробь)</t>
  </si>
  <si>
    <t>SELL PUT 315</t>
  </si>
  <si>
    <t>SELL</t>
  </si>
  <si>
    <t>T — Дней до экспир.</t>
  </si>
  <si>
    <t>BUY CALL 320</t>
  </si>
  <si>
    <t>CALL</t>
  </si>
  <si>
    <t>T (год)</t>
  </si>
  <si>
    <t>SELL CALL 330</t>
  </si>
  <si>
    <t>💰 Дебет конструкции (руб.)</t>
  </si>
  <si>
    <t>руб./акц.</t>
  </si>
  <si>
    <t>📈  ПРОФИЛЬ P&amp;L ПО ЦЕНЕ НА ЭКСПИРАЦИИ (100 акций = 1 контракт)</t>
  </si>
  <si>
    <t>Цена SBER</t>
  </si>
  <si>
    <t>P&amp;L кондора (руб)</t>
  </si>
  <si>
    <t>P&amp;L акций (руб)</t>
  </si>
  <si>
    <t>ИТОГО (руб)</t>
  </si>
  <si>
    <t>📊  ИСТОРИЯ ЦИКЛОВ — БЭКТЕСТ И РЕАЛЬНАЯ ТОРГОВЛЯ</t>
  </si>
  <si>
    <t>№</t>
  </si>
  <si>
    <t>Дата входа</t>
  </si>
  <si>
    <t>Вход</t>
  </si>
  <si>
    <t>Экспир.</t>
  </si>
  <si>
    <t>R avg</t>
  </si>
  <si>
    <t>Режим</t>
  </si>
  <si>
    <t>Фаза2?</t>
  </si>
  <si>
    <t>P&amp;L оп.</t>
  </si>
  <si>
    <t>P&amp;L Roll</t>
  </si>
  <si>
    <t>Кумулятив</t>
  </si>
  <si>
    <t>03.04.25</t>
  </si>
  <si>
    <t>25.04.25</t>
  </si>
  <si>
    <t>ФЛЭТ</t>
  </si>
  <si>
    <t>ДА</t>
  </si>
  <si>
    <t>16.05.25</t>
  </si>
  <si>
    <t>НЕОПРЕД</t>
  </si>
  <si>
    <t>НЕТ</t>
  </si>
  <si>
    <t>06.06.25</t>
  </si>
  <si>
    <t>27.06.25</t>
  </si>
  <si>
    <t>18.07.25</t>
  </si>
  <si>
    <t>08.08.25</t>
  </si>
  <si>
    <t>ТРЕНД ▼</t>
  </si>
  <si>
    <t>29.08.25</t>
  </si>
  <si>
    <t>19.09.25</t>
  </si>
  <si>
    <t>10.10.25</t>
  </si>
  <si>
    <t>31.10.25</t>
  </si>
  <si>
    <t>21.11.25</t>
  </si>
  <si>
    <t>ИТОГО:</t>
  </si>
  <si>
    <t>Win Rate:</t>
  </si>
  <si>
    <t>🗺️  КАРТА ПРИНЯТИЯ РЕШЕНИЙ — ЧТО ДЕЛАТЬ В КАЖДОМ РЕЖИМЕ</t>
  </si>
  <si>
    <t>ДЕЙСТВИЕ</t>
  </si>
  <si>
    <t>НЕОПРЕД.</t>
  </si>
  <si>
    <t>ТРЕНД ▲</t>
  </si>
  <si>
    <t>Вход в кондор (Фаза 1)</t>
  </si>
  <si>
    <t>✅ ДА</t>
  </si>
  <si>
    <t>⚠️ 50%</t>
  </si>
  <si>
    <t>❌ НЕТ</t>
  </si>
  <si>
    <t>Держать позицию</t>
  </si>
  <si>
    <t>⚠️ ДА</t>
  </si>
  <si>
    <t>Продать CALL</t>
  </si>
  <si>
    <t>✅ 50-70%</t>
  </si>
  <si>
    <t>Продать PUT</t>
  </si>
  <si>
    <t>Roll: откуп 330, продажа 315</t>
  </si>
  <si>
    <t>✅ Если 8+ дней</t>
  </si>
  <si>
    <t>Дать акциям расти</t>
  </si>
  <si>
    <t>Сокращать риск</t>
  </si>
  <si>
    <t>⚠️ ЖДАТЬ</t>
  </si>
  <si>
    <t>Страйк CALL продажи</t>
  </si>
  <si>
    <t>+10-12 р</t>
  </si>
  <si>
    <t>+15-20 р</t>
  </si>
  <si>
    <t>Н/Д</t>
  </si>
  <si>
    <t>ATM</t>
  </si>
  <si>
    <t>Страйк PUT продажи</t>
  </si>
  <si>
    <t>-10-12 р</t>
  </si>
  <si>
    <t>-15-20 р</t>
  </si>
  <si>
    <t>❌  R &gt; 12 → НЕ ТОРГОВАТЬ</t>
  </si>
  <si>
    <t>❌  После падения &gt; 10 р → НЕ продавать PUT 2 дня</t>
  </si>
  <si>
    <t>❌  После роста &gt; 10 р → НЕ продавать CALL 1-2 дня</t>
  </si>
  <si>
    <t>❌  Перед дивидендами/отчётом → НЕ входить</t>
  </si>
  <si>
    <t>❌  Цена у страйка → Частично закрыть позицию</t>
  </si>
  <si>
    <t>❌  P&amp;L &gt;= 70% → Закрыть все ноги</t>
  </si>
  <si>
    <t>❌  За 2 дня до экспирации → Закрыть ВСЁ</t>
  </si>
  <si>
    <t>❌  Объём продажи → НЕ БОЛЕЕ 70% от позиции</t>
  </si>
  <si>
    <t>📖  РУКОВОДСТВО ПОЛЬЗОВАТЕЛЯ — ГИБРИДНЫЙ КОНДОР v2 SBER</t>
  </si>
  <si>
    <t>🗂️  СОСТАВ ФАЙЛА</t>
  </si>
  <si>
    <t xml:space="preserve">  Дашборд:   Центральная панель. Вводи рыночные данные, получай сигнал за 10 сек.</t>
  </si>
  <si>
    <t xml:space="preserve">  Журнал:   Ежедневный журнал. Вводи дату + OHLC + IV. Режим и сигналы — авто.</t>
  </si>
  <si>
    <t xml:space="preserve">  Калькулятор:   BS-цены ног + профиль P&amp;L при экспирации. Вводи параметры → авто.</t>
  </si>
  <si>
    <t xml:space="preserve">  Циклы:   История 11 реальных циклов бэктеста. Добавляй новые строки снизу.</t>
  </si>
  <si>
    <t xml:space="preserve">  Карта решений:   Матрица: что делать в каждом режиме. Читай перед торговлей.</t>
  </si>
  <si>
    <t>📝  ЕЖЕДНЕВНЫЙ АЛГОРИТМ (9 шагов)</t>
  </si>
  <si>
    <t xml:space="preserve">  Шаг 1:   Открой лист «Дашборд'</t>
  </si>
  <si>
    <t xml:space="preserve">  Шаг 2:   В блоке РЫНОЧНЫЕ ДАННЫЕ введи: Close / High / Low / PrevClose — дневные цены акции SBER. IV — имплайд-волатильность ATM-опциона SBER (из терминала).</t>
  </si>
  <si>
    <t xml:space="preserve">  Шаг 3:   Прочитай ячейку РЕЖИМ РЫНКА: ФЛЭТ / НЕОПРЕД. / ТРЕНД ▲ / ТРЕНД ▼</t>
  </si>
  <si>
    <t xml:space="preserve">  Шаг 4:   Прочитай сигналы: Продавать CALL? / Продавать PUT? → зелёный = действуй</t>
  </si>
  <si>
    <t xml:space="preserve">  Шаг 5:   Проверь счётчик флэт-дней (C21). Если &gt;= 8 → активируй Roll (откуп CALL 330 + продажа CALL 315).</t>
  </si>
  <si>
    <t xml:space="preserve">  Шаг 6:   Проверь жёсткие запреты. Если R &gt; 12 → НЕ ТОРГОВАТЬ.</t>
  </si>
  <si>
    <t xml:space="preserve">  Шаг 7:   Введи итог дня в «Журнал»: дата + OHLC + IV + P&amp;L от закрытых ног.</t>
  </si>
  <si>
    <t xml:space="preserve">  Шаг 8:   Проверь P&amp;L (C29 на дашборде). Если &gt;= 70% → закрывай ноги.</t>
  </si>
  <si>
    <t xml:space="preserve">  Шаг 9:   За 2 дня до экспирации — закрыть все опционные позиции.</t>
  </si>
  <si>
    <t>📊  ЧТО ВВОДИТЬ В РЫНОЧНЫЕ ДАННЫЕ</t>
  </si>
  <si>
    <t xml:space="preserve">  Close:   Цена закрытия акции SBER за текущий торговый день (последняя сделка, 18:50 МСК)</t>
  </si>
  <si>
    <t xml:space="preserve">  High:   Максимум акции SBER за текущий торговый день</t>
  </si>
  <si>
    <t xml:space="preserve">  Low:   Минимум акции SBER за текущий торговый день</t>
  </si>
  <si>
    <t xml:space="preserve">  PrevClose:   Цена закрытия акции SBER за ПРЕДЫДУЩИЙ торговый день</t>
  </si>
  <si>
    <t xml:space="preserve">  IV %:   Имплайд-волатильность ближайших ATM-опционов SBER в % (напр. 8.9). Берётся из опционной доски в QUIK / Tinkoff / MOEX сайт.</t>
  </si>
  <si>
    <t xml:space="preserve">  ⚠️ ВАЖНО:   НЕ вводить цены опционов. НЕ вводить часовые данные. Только дневные OHLC акции SBER.</t>
  </si>
  <si>
    <t>🔧  ФОРМУЛЫ</t>
  </si>
  <si>
    <t xml:space="preserve">  R = High − Low:   Дневной диапазон. Показывает волатильность дня.</t>
  </si>
  <si>
    <t xml:space="preserve">  Momentum = Close − PrevClose:   Направление движения за день.</t>
  </si>
  <si>
    <t xml:space="preserve">  Δ = |Close − Центр|:   Отклонение цены от центрального страйка (317).</t>
  </si>
  <si>
    <t xml:space="preserve">  ФЛЭТ:   Если R &lt; 6 И |Momentum| &lt; 3 И Δ &lt; 3 → продавать, Roll — разрешён.</t>
  </si>
  <si>
    <t xml:space="preserve">  НЕОПРЕД.:   R = 6-10 или Momentum 3-6 → ждать, не продавать центр.</t>
  </si>
  <si>
    <t xml:space="preserve">  ТРЕНД:   R &gt; 10 или Momentum &gt; 6 → не продавать в сторону тренда.</t>
  </si>
  <si>
    <t>💡  BS-КАЛЬКУЛЯТОР</t>
  </si>
  <si>
    <t xml:space="preserve">  σ (IV):   Введи как дробь: 8.9% → 0.089</t>
  </si>
  <si>
    <t xml:space="preserve">  r (ставка):   Ключевая ставка ЦБ как дробь: 16% → 0.16</t>
  </si>
  <si>
    <t xml:space="preserve">  T (дни):   Количество календарных дней до экспирации. Файл сам пересчитает в годы.</t>
  </si>
  <si>
    <t xml:space="preserve">  Формула:   Black-Scholes на русских функциях Excel: НОРМ.СТ.РАСП / ЛН / КОРЕНЬ / ЕХР.</t>
  </si>
  <si>
    <t>⚠️  СОВМЕСТИМОСТЬ</t>
  </si>
  <si>
    <t xml:space="preserve">  Excel для Windows:   ✅ Полная поддержка всех формул. Рекомендуется Excel 2016+.</t>
  </si>
  <si>
    <t xml:space="preserve">  Excel для Mac:   ✅ Поддерживается. НОРМ.СТ.РАСП работает.</t>
  </si>
  <si>
    <t xml:space="preserve">  LibreOffice Calc:   ✅ Работает. Функции NORMDIST = НОРМ.СТ.РАСП в русской версии.</t>
  </si>
  <si>
    <t xml:space="preserve">  Excel мобильный:   ⚠️ Формулы работают в режиме чтения. Для ввода данных рекомендуется десктоп.</t>
  </si>
  <si>
    <t xml:space="preserve">  Google Sheets:   ⚠️ Формулы потребуют замены на NORM.S.DIST (английские названия).</t>
  </si>
  <si>
    <t>🔘  КОД VBA ДЛЯ КНОПОК — скопируй в редактор макросов Excel (Alt+F11)</t>
  </si>
  <si>
    <t>' ═══════════════════════════════════════════════════</t>
  </si>
  <si>
    <t xml:space="preserve">' КНОПКА 1: "Обновить данные" — копирует E7:E11 </t>
  </si>
  <si>
    <t>' с листа Дашборд в следующую свободную строку Журнала</t>
  </si>
  <si>
    <t>Sub ОбновитьДанные()</t>
  </si>
  <si>
    <t xml:space="preserve">    Dim wsDash As Worksheet</t>
  </si>
  <si>
    <t xml:space="preserve">    Dim wsJourn As Worksheet</t>
  </si>
  <si>
    <t xml:space="preserve">    Dim nextRow As Long</t>
  </si>
  <si>
    <t xml:space="preserve">    Set wsDash = ThisWorkbook.Sheets("Дашборд")</t>
  </si>
  <si>
    <t xml:space="preserve">    Set wsJourn = ThisWorkbook.Sheets("Журнал")</t>
  </si>
  <si>
    <t xml:space="preserve">    ' Найти первую пустую строку в Журнале (начиная с 4)</t>
  </si>
  <si>
    <t xml:space="preserve">    nextRow = 4</t>
  </si>
  <si>
    <t xml:space="preserve">    Do While wsJourn.Cells(nextRow, 2).Value &lt;&gt; ""</t>
  </si>
  <si>
    <t xml:space="preserve">        nextRow = nextRow + 1</t>
  </si>
  <si>
    <t xml:space="preserve">        If nextRow &gt; 63 Then</t>
  </si>
  <si>
    <t xml:space="preserve">            MsgBox "Журнал заполнен! Очистите старые строки.", vbExclamation</t>
  </si>
  <si>
    <t xml:space="preserve">            Exit Sub</t>
  </si>
  <si>
    <t xml:space="preserve">        End If</t>
  </si>
  <si>
    <t xml:space="preserve">    Loop</t>
  </si>
  <si>
    <t xml:space="preserve">    ' Записать дату</t>
  </si>
  <si>
    <t xml:space="preserve">    wsJourn.Cells(nextRow, 2).Value = wsDash.Range("E6").Value</t>
  </si>
  <si>
    <t xml:space="preserve">    wsJourn.Cells(nextRow, 2).NumberFormat = "DD.MM.YY"</t>
  </si>
  <si>
    <t xml:space="preserve">    ' Close, High, Low, PrevClose, IV</t>
  </si>
  <si>
    <t xml:space="preserve">    wsJourn.Cells(nextRow, 3).Value = wsDash.Range("E7").Value  ' Close</t>
  </si>
  <si>
    <t xml:space="preserve">    wsJourn.Cells(nextRow, 4).Value = wsDash.Range("E8").Value  ' High</t>
  </si>
  <si>
    <t xml:space="preserve">    wsJourn.Cells(nextRow, 5).Value = wsDash.Range("E9").Value  ' Low</t>
  </si>
  <si>
    <t xml:space="preserve">    wsJourn.Cells(nextRow, 6).Value = wsDash.Range("E10").Value ' PrevClose</t>
  </si>
  <si>
    <t xml:space="preserve">    wsJourn.Cells(nextRow, 7).Value = wsDash.Range("E11").Value ' IV</t>
  </si>
  <si>
    <t xml:space="preserve">    ' Активируем лист журнала и переходим к новой строке</t>
  </si>
  <si>
    <t xml:space="preserve">    wsJourn.Activate</t>
  </si>
  <si>
    <t xml:space="preserve">    wsJourn.Cells(nextRow, 2).Select</t>
  </si>
  <si>
    <t xml:space="preserve">    MsgBox "✅ Данные за " &amp; Format(wsDash.Range("E6").Value, "DD.MM.YYYY") &amp; " добавлены в Журнал (строка " &amp; nextRow &amp; ").", vbInformation</t>
  </si>
  <si>
    <t>End Sub</t>
  </si>
  <si>
    <t xml:space="preserve">' КНОПКА 2: "Записать P&amp;L" — дозаписывает P&amp;L </t>
  </si>
  <si>
    <t>' в последнюю заполненную строку Журнала</t>
  </si>
  <si>
    <t>Sub ЗаписатьPnL()</t>
  </si>
  <si>
    <t xml:space="preserve">    Dim lastRow As Long</t>
  </si>
  <si>
    <t xml:space="preserve">    ' Найти последнюю заполненную строку</t>
  </si>
  <si>
    <t xml:space="preserve">    lastRow = 63</t>
  </si>
  <si>
    <t xml:space="preserve">    Do While wsJourn.Cells(lastRow, 2).Value = "" And lastRow &gt; 3</t>
  </si>
  <si>
    <t xml:space="preserve">        lastRow = lastRow - 1</t>
  </si>
  <si>
    <t xml:space="preserve">    If lastRow &lt; 4 Then</t>
  </si>
  <si>
    <t xml:space="preserve">        MsgBox "Журнал пуст. Сначала нажмите 'Обновить данные'.", vbExclamation</t>
  </si>
  <si>
    <t xml:space="preserve">        Exit Sub</t>
  </si>
  <si>
    <t xml:space="preserve">    End If</t>
  </si>
  <si>
    <t xml:space="preserve">    ' Записать P&amp;L из Дашборда</t>
  </si>
  <si>
    <t xml:space="preserve">    wsJourn.Cells(lastRow, 14).Value = wsDash.Range("C24").Value + wsDash.Range("C25").Value</t>
  </si>
  <si>
    <t xml:space="preserve">    wsJourn.Cells(lastRow, 15).Value = wsDash.Range("C26").Value + wsDash.Range("C27").Value + wsDash.Range("C28").Value</t>
  </si>
  <si>
    <t xml:space="preserve">    wsJourn.Cells(lastRow, 14).Select</t>
  </si>
  <si>
    <t xml:space="preserve">    MsgBox "✅ P&amp;L записан в строку " &amp; lastRow &amp; ".", vbInformation</t>
  </si>
  <si>
    <t>' КНОПКА 3: "Новый цикл" — добавляет строку в Циклы</t>
  </si>
  <si>
    <t>Sub НовыйЦикл()</t>
  </si>
  <si>
    <t xml:space="preserve">    Dim wsCycles As Worksheet</t>
  </si>
  <si>
    <t xml:space="preserve">    Dim cycleNum As Long</t>
  </si>
  <si>
    <t xml:space="preserve">    Dim pnl_total As Double</t>
  </si>
  <si>
    <t xml:space="preserve">    Set wsCycles = ThisWorkbook.Sheets("Циклы")</t>
  </si>
  <si>
    <t xml:space="preserve">    lastRow = 3</t>
  </si>
  <si>
    <t xml:space="preserve">    Do While wsCycles.Cells(lastRow, 2).Value &lt;&gt; "" And lastRow &lt; 30</t>
  </si>
  <si>
    <t xml:space="preserve">        lastRow = lastRow + 1</t>
  </si>
  <si>
    <t xml:space="preserve">    cycleNum = lastRow - 2</t>
  </si>
  <si>
    <t xml:space="preserve">    pnl_total = ThisWorkbook.Sheets("Дашборд").Range("C29").Value</t>
  </si>
  <si>
    <t xml:space="preserve">    wsCycles.Cells(lastRow, 2).Value = cycleNum</t>
  </si>
  <si>
    <t xml:space="preserve">    wsCycles.Cells(lastRow, 3).Value = ThisWorkbook.Sheets("Дашборд").Range("E6").Value</t>
  </si>
  <si>
    <t xml:space="preserve">    wsCycles.Cells(lastRow, 10).Value = pnl_total</t>
  </si>
  <si>
    <t xml:space="preserve">    ' Кумулятив</t>
  </si>
  <si>
    <t xml:space="preserve">    If lastRow &gt; 3 Then</t>
  </si>
  <si>
    <t xml:space="preserve">        wsCycles.Cells(lastRow, 12).Value = wsCycles.Cells(lastRow - 1, 12).Value + pnl_total</t>
  </si>
  <si>
    <t xml:space="preserve">    Else</t>
  </si>
  <si>
    <t xml:space="preserve">        wsCycles.Cells(lastRow, 12).Value = pnl_total</t>
  </si>
  <si>
    <t xml:space="preserve">    wsCycles.Activate</t>
  </si>
  <si>
    <t xml:space="preserve">    MsgBox "✅ Цикл " &amp; cycleNum &amp; " добавлен. P&amp;L = " &amp; Format(pnl_total, "#,##0.00") &amp; " руб.", vbInformation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</si>
</sst>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\.mm\.yy"/>
    <numFmt numFmtId="166" formatCode="0.0"/>
    <numFmt numFmtId="167" formatCode="0.0000"/>
  </numFmts>
  <fonts count="3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charset val="204"/>
    </font>
    <font>
      <sz val="10"/>
      <color rgb="FFAAAAAA"/>
      <name val="Calibri"/>
      <family val="2"/>
      <charset val="204"/>
    </font>
    <font>
      <b/>
      <sz val="11"/>
      <color rgb="FFFFFFFF"/>
      <name val="Calibri"/>
      <family val="2"/>
      <charset val="204"/>
    </font>
    <font>
      <i/>
      <sz val="9"/>
      <color rgb="FF888888"/>
      <name val="Calibri"/>
      <family val="2"/>
      <charset val="204"/>
    </font>
    <font>
      <sz val="10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1A1F2E"/>
      <name val="Calibri"/>
      <family val="2"/>
      <charset val="204"/>
    </font>
    <font>
      <b/>
      <sz val="12"/>
      <color rgb="FF1A1F2E"/>
      <name val="Calibri"/>
      <family val="2"/>
      <charset val="204"/>
    </font>
    <font>
      <b/>
      <sz val="10"/>
      <color rgb="FF000000"/>
      <name val="Calibri"/>
      <family val="2"/>
      <charset val="204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  <font>
      <b/>
      <sz val="13"/>
      <color rgb="FF000000"/>
      <name val="Calibri"/>
      <family val="2"/>
      <charset val="204"/>
    </font>
    <font>
      <b/>
      <sz val="14"/>
      <name val="Calibri"/>
      <family val="2"/>
      <charset val="204"/>
    </font>
    <font>
      <b/>
      <sz val="10"/>
      <color rgb="FFFFFFFF"/>
      <name val="Calibri"/>
      <family val="2"/>
      <charset val="204"/>
    </font>
    <font>
      <b/>
      <sz val="12"/>
      <name val="Calibri"/>
      <family val="2"/>
      <charset val="204"/>
    </font>
    <font>
      <i/>
      <sz val="9"/>
      <color rgb="FF777777"/>
      <name val="Calibri"/>
      <family val="2"/>
      <charset val="204"/>
    </font>
    <font>
      <b/>
      <sz val="10"/>
      <color rgb="FFA83232"/>
      <name val="Calibri"/>
      <family val="2"/>
      <charset val="204"/>
    </font>
    <font>
      <i/>
      <sz val="9"/>
      <color rgb="FF555555"/>
      <name val="Calibri"/>
      <family val="2"/>
      <charset val="204"/>
    </font>
    <font>
      <b/>
      <sz val="13"/>
      <color rgb="FFFFFFFF"/>
      <name val="Calibri"/>
      <family val="2"/>
      <charset val="204"/>
    </font>
    <font>
      <b/>
      <sz val="9"/>
      <color rgb="FFFFFFFF"/>
      <name val="Calibri"/>
      <family val="2"/>
      <charset val="204"/>
    </font>
    <font>
      <b/>
      <sz val="10"/>
      <color rgb="FF1D7A4A"/>
      <name val="Calibri"/>
      <family val="2"/>
      <charset val="204"/>
    </font>
    <font>
      <sz val="9"/>
      <color rgb="FF000000"/>
      <name val="Calibri"/>
      <family val="2"/>
      <charset val="204"/>
    </font>
    <font>
      <b/>
      <sz val="11"/>
      <color rgb="FF1D7A4A"/>
      <name val="Calibri"/>
      <family val="2"/>
      <charset val="204"/>
    </font>
    <font>
      <b/>
      <sz val="11"/>
      <color rgb="FFA83232"/>
      <name val="Calibri"/>
      <family val="2"/>
      <charset val="204"/>
    </font>
    <font>
      <b/>
      <sz val="11"/>
      <color rgb="FFC87520"/>
      <name val="Calibri"/>
      <family val="2"/>
      <charset val="204"/>
    </font>
    <font>
      <b/>
      <sz val="10"/>
      <color rgb="FFC87520"/>
      <name val="Calibri"/>
      <family val="2"/>
      <charset val="204"/>
    </font>
    <font>
      <b/>
      <sz val="14"/>
      <color rgb="FFFFFFFF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b/>
      <sz val="12"/>
      <color rgb="FFFFFFFF"/>
      <name val="Calibri"/>
      <family val="2"/>
      <charset val="204"/>
    </font>
    <font>
      <i/>
      <sz val="10"/>
      <color rgb="FF008000"/>
      <name val="Courier New"/>
      <family val="3"/>
      <charset val="204"/>
    </font>
    <font>
      <b/>
      <sz val="10"/>
      <color rgb="FF0000CC"/>
      <name val="Courier New"/>
      <family val="3"/>
      <charset val="204"/>
    </font>
    <font>
      <sz val="10"/>
      <name val="Courier New"/>
      <family val="3"/>
      <charset val="204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A1F2E"/>
      </patternFill>
    </fill>
    <fill>
      <patternFill patternType="solid">
        <fgColor rgb="FF1E3A5F"/>
      </patternFill>
    </fill>
    <fill>
      <patternFill patternType="solid">
        <fgColor rgb="FFF0F2F5"/>
      </patternFill>
    </fill>
    <fill>
      <patternFill patternType="solid">
        <fgColor rgb="FFFFFFFF"/>
      </patternFill>
    </fill>
    <fill>
      <patternFill patternType="solid">
        <fgColor rgb="FF0A7A8A"/>
      </patternFill>
    </fill>
    <fill>
      <patternFill patternType="solid">
        <fgColor rgb="FFD6E8F7"/>
      </patternFill>
    </fill>
    <fill>
      <patternFill patternType="solid">
        <fgColor rgb="FFC87520"/>
      </patternFill>
    </fill>
    <fill>
      <patternFill patternType="solid">
        <fgColor rgb="FFFFF3CD"/>
      </patternFill>
    </fill>
    <fill>
      <patternFill patternType="solid">
        <fgColor rgb="FF1D7A4A"/>
      </patternFill>
    </fill>
    <fill>
      <patternFill patternType="solid">
        <fgColor rgb="FFA83232"/>
      </patternFill>
    </fill>
    <fill>
      <patternFill patternType="solid">
        <fgColor rgb="FFFADADD"/>
      </patternFill>
    </fill>
    <fill>
      <patternFill patternType="solid">
        <fgColor rgb="FFD4EDDA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4" fontId="13" fillId="0" borderId="2" xfId="0" applyNumberFormat="1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2" fontId="15" fillId="0" borderId="2" xfId="0" applyNumberFormat="1" applyFont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165" fontId="0" fillId="7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9" fillId="0" borderId="1" xfId="0" applyNumberFormat="1" applyFont="1" applyBorder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0" fontId="3" fillId="2" borderId="2" xfId="0" applyFont="1" applyFill="1" applyBorder="1"/>
    <xf numFmtId="4" fontId="10" fillId="9" borderId="2" xfId="0" applyNumberFormat="1" applyFont="1" applyFill="1" applyBorder="1" applyAlignment="1">
      <alignment horizontal="center" vertical="center" wrapText="1"/>
    </xf>
    <xf numFmtId="167" fontId="6" fillId="5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3" fontId="23" fillId="13" borderId="1" xfId="0" applyNumberFormat="1" applyFont="1" applyFill="1" applyBorder="1" applyAlignment="1">
      <alignment horizontal="center" vertical="center" wrapText="1"/>
    </xf>
    <xf numFmtId="3" fontId="21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24" fillId="12" borderId="1" xfId="0" applyNumberFormat="1" applyFont="1" applyFill="1" applyBorder="1" applyAlignment="1">
      <alignment horizontal="center" vertical="center" wrapText="1"/>
    </xf>
    <xf numFmtId="3" fontId="10" fillId="9" borderId="2" xfId="0" applyNumberFormat="1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0" fillId="5" borderId="0" xfId="0" applyFill="1"/>
    <xf numFmtId="0" fontId="3" fillId="3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9" fillId="5" borderId="1" xfId="0" applyFont="1" applyFill="1" applyBorder="1" applyAlignment="1">
      <alignment horizontal="left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3" fillId="10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0" fillId="2" borderId="0" xfId="0" applyFill="1"/>
    <xf numFmtId="0" fontId="14" fillId="2" borderId="0" xfId="0" applyFont="1" applyFill="1" applyAlignment="1">
      <alignment horizontal="center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27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P&amp;L </a:t>
            </a:r>
            <a:r>
              <a:rPr lang="ru-RU"/>
              <a:t>профиль кондора при экспирации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Калькулятор!$C$12</c:f>
              <c:strCache>
                <c:ptCount val="1"/>
                <c:pt idx="0">
                  <c:v>P&amp;L кондора (руб)</c:v>
                </c:pt>
              </c:strCache>
            </c:strRef>
          </c:tx>
          <c:spPr>
            <a:ln w="20000">
              <a:solidFill>
                <a:srgbClr val="0A7A8A"/>
              </a:solidFill>
              <a:prstDash val="solid"/>
            </a:ln>
          </c:spPr>
          <c:marker>
            <c:symbol val="none"/>
          </c:marker>
          <c:cat>
            <c:numRef>
              <c:f>Калькулятор!$B$13:$B$39</c:f>
              <c:numCache>
                <c:formatCode>0.00</c:formatCode>
                <c:ptCount val="27"/>
                <c:pt idx="0">
                  <c:v>285</c:v>
                </c:pt>
                <c:pt idx="1">
                  <c:v>287.5</c:v>
                </c:pt>
                <c:pt idx="2">
                  <c:v>290</c:v>
                </c:pt>
                <c:pt idx="3">
                  <c:v>292.5</c:v>
                </c:pt>
                <c:pt idx="4">
                  <c:v>295</c:v>
                </c:pt>
                <c:pt idx="5">
                  <c:v>297.5</c:v>
                </c:pt>
                <c:pt idx="6">
                  <c:v>300</c:v>
                </c:pt>
                <c:pt idx="7">
                  <c:v>302.5</c:v>
                </c:pt>
                <c:pt idx="8">
                  <c:v>305</c:v>
                </c:pt>
                <c:pt idx="9">
                  <c:v>307.5</c:v>
                </c:pt>
                <c:pt idx="10">
                  <c:v>310</c:v>
                </c:pt>
                <c:pt idx="11">
                  <c:v>312.5</c:v>
                </c:pt>
                <c:pt idx="12">
                  <c:v>315</c:v>
                </c:pt>
                <c:pt idx="13">
                  <c:v>317.5</c:v>
                </c:pt>
                <c:pt idx="14">
                  <c:v>320</c:v>
                </c:pt>
                <c:pt idx="15">
                  <c:v>322.5</c:v>
                </c:pt>
                <c:pt idx="16">
                  <c:v>325</c:v>
                </c:pt>
                <c:pt idx="17">
                  <c:v>327.5</c:v>
                </c:pt>
                <c:pt idx="18">
                  <c:v>330</c:v>
                </c:pt>
                <c:pt idx="19">
                  <c:v>332.5</c:v>
                </c:pt>
                <c:pt idx="20">
                  <c:v>335</c:v>
                </c:pt>
                <c:pt idx="21">
                  <c:v>337.5</c:v>
                </c:pt>
                <c:pt idx="22">
                  <c:v>340</c:v>
                </c:pt>
                <c:pt idx="23">
                  <c:v>342.5</c:v>
                </c:pt>
                <c:pt idx="24">
                  <c:v>345</c:v>
                </c:pt>
                <c:pt idx="25">
                  <c:v>347.5</c:v>
                </c:pt>
                <c:pt idx="26">
                  <c:v>350</c:v>
                </c:pt>
              </c:numCache>
            </c:numRef>
          </c:cat>
          <c:val>
            <c:numRef>
              <c:f>Калькулятор!$C$13:$C$39</c:f>
              <c:numCache>
                <c:formatCode>#,##0.00</c:formatCode>
                <c:ptCount val="27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6B-468C-A318-DC060AB1FABD}"/>
            </c:ext>
          </c:extLst>
        </c:ser>
        <c:ser>
          <c:idx val="1"/>
          <c:order val="1"/>
          <c:tx>
            <c:strRef>
              <c:f>Калькулятор!$E$12</c:f>
              <c:strCache>
                <c:ptCount val="1"/>
                <c:pt idx="0">
                  <c:v>ИТОГО (руб)</c:v>
                </c:pt>
              </c:strCache>
            </c:strRef>
          </c:tx>
          <c:spPr>
            <a:ln w="20000">
              <a:solidFill>
                <a:srgbClr val="C87520"/>
              </a:solidFill>
              <a:prstDash val="solid"/>
            </a:ln>
          </c:spPr>
          <c:marker>
            <c:symbol val="none"/>
          </c:marker>
          <c:cat>
            <c:numRef>
              <c:f>Калькулятор!$B$13:$B$39</c:f>
              <c:numCache>
                <c:formatCode>0.00</c:formatCode>
                <c:ptCount val="27"/>
                <c:pt idx="0">
                  <c:v>285</c:v>
                </c:pt>
                <c:pt idx="1">
                  <c:v>287.5</c:v>
                </c:pt>
                <c:pt idx="2">
                  <c:v>290</c:v>
                </c:pt>
                <c:pt idx="3">
                  <c:v>292.5</c:v>
                </c:pt>
                <c:pt idx="4">
                  <c:v>295</c:v>
                </c:pt>
                <c:pt idx="5">
                  <c:v>297.5</c:v>
                </c:pt>
                <c:pt idx="6">
                  <c:v>300</c:v>
                </c:pt>
                <c:pt idx="7">
                  <c:v>302.5</c:v>
                </c:pt>
                <c:pt idx="8">
                  <c:v>305</c:v>
                </c:pt>
                <c:pt idx="9">
                  <c:v>307.5</c:v>
                </c:pt>
                <c:pt idx="10">
                  <c:v>310</c:v>
                </c:pt>
                <c:pt idx="11">
                  <c:v>312.5</c:v>
                </c:pt>
                <c:pt idx="12">
                  <c:v>315</c:v>
                </c:pt>
                <c:pt idx="13">
                  <c:v>317.5</c:v>
                </c:pt>
                <c:pt idx="14">
                  <c:v>320</c:v>
                </c:pt>
                <c:pt idx="15">
                  <c:v>322.5</c:v>
                </c:pt>
                <c:pt idx="16">
                  <c:v>325</c:v>
                </c:pt>
                <c:pt idx="17">
                  <c:v>327.5</c:v>
                </c:pt>
                <c:pt idx="18">
                  <c:v>330</c:v>
                </c:pt>
                <c:pt idx="19">
                  <c:v>332.5</c:v>
                </c:pt>
                <c:pt idx="20">
                  <c:v>335</c:v>
                </c:pt>
                <c:pt idx="21">
                  <c:v>337.5</c:v>
                </c:pt>
                <c:pt idx="22">
                  <c:v>340</c:v>
                </c:pt>
                <c:pt idx="23">
                  <c:v>342.5</c:v>
                </c:pt>
                <c:pt idx="24">
                  <c:v>345</c:v>
                </c:pt>
                <c:pt idx="25">
                  <c:v>347.5</c:v>
                </c:pt>
                <c:pt idx="26">
                  <c:v>350</c:v>
                </c:pt>
              </c:numCache>
            </c:numRef>
          </c:cat>
          <c:val>
            <c:numRef>
              <c:f>Калькулятор!$E$13:$E$39</c:f>
              <c:numCache>
                <c:formatCode>#,##0.00</c:formatCode>
                <c:ptCount val="27"/>
                <c:pt idx="0">
                  <c:v>-32199.999999999989</c:v>
                </c:pt>
                <c:pt idx="1">
                  <c:v>-29699.999999999989</c:v>
                </c:pt>
                <c:pt idx="2">
                  <c:v>-27199.999999999989</c:v>
                </c:pt>
                <c:pt idx="3">
                  <c:v>-24699.999999999989</c:v>
                </c:pt>
                <c:pt idx="4">
                  <c:v>-22199.999999999989</c:v>
                </c:pt>
                <c:pt idx="5">
                  <c:v>-19699.999999999989</c:v>
                </c:pt>
                <c:pt idx="6">
                  <c:v>-17199.999999999989</c:v>
                </c:pt>
                <c:pt idx="7">
                  <c:v>-14699.999999999989</c:v>
                </c:pt>
                <c:pt idx="8">
                  <c:v>-12199.999999999989</c:v>
                </c:pt>
                <c:pt idx="9">
                  <c:v>-9699.9999999999891</c:v>
                </c:pt>
                <c:pt idx="10">
                  <c:v>-7199.9999999999891</c:v>
                </c:pt>
                <c:pt idx="11">
                  <c:v>-4699.9999999999891</c:v>
                </c:pt>
                <c:pt idx="12">
                  <c:v>-2199.9999999999886</c:v>
                </c:pt>
                <c:pt idx="13">
                  <c:v>300.00000000001137</c:v>
                </c:pt>
                <c:pt idx="14">
                  <c:v>2800.0000000000114</c:v>
                </c:pt>
                <c:pt idx="15">
                  <c:v>5300.0000000000109</c:v>
                </c:pt>
                <c:pt idx="16">
                  <c:v>7800.0000000000109</c:v>
                </c:pt>
                <c:pt idx="17">
                  <c:v>10300.000000000011</c:v>
                </c:pt>
                <c:pt idx="18">
                  <c:v>12800.000000000011</c:v>
                </c:pt>
                <c:pt idx="19">
                  <c:v>15300.000000000011</c:v>
                </c:pt>
                <c:pt idx="20">
                  <c:v>17800.000000000011</c:v>
                </c:pt>
                <c:pt idx="21">
                  <c:v>20300.000000000011</c:v>
                </c:pt>
                <c:pt idx="22">
                  <c:v>22800.000000000011</c:v>
                </c:pt>
                <c:pt idx="23">
                  <c:v>25300.000000000011</c:v>
                </c:pt>
                <c:pt idx="24">
                  <c:v>27800.000000000011</c:v>
                </c:pt>
                <c:pt idx="25">
                  <c:v>30300.000000000011</c:v>
                </c:pt>
                <c:pt idx="26">
                  <c:v>32800.000000000015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C6B-468C-A318-DC060AB1F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Цена </a:t>
                </a:r>
                <a:r>
                  <a:rPr lang="en-US"/>
                  <a:t>SBER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P&amp;L (</a:t>
                </a:r>
                <a:r>
                  <a:rPr lang="ru-RU"/>
                  <a:t>руб.)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ru-RU"/>
              <a:t>Кумулятивный </a:t>
            </a:r>
            <a:r>
              <a:rPr lang="en-US"/>
              <a:t>P&amp;L </a:t>
            </a:r>
            <a:r>
              <a:rPr lang="ru-RU"/>
              <a:t>по циклам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Циклы!$L$2</c:f>
              <c:strCache>
                <c:ptCount val="1"/>
                <c:pt idx="0">
                  <c:v>Кумулятив</c:v>
                </c:pt>
              </c:strCache>
            </c:strRef>
          </c:tx>
          <c:spPr>
            <a:ln w="25000">
              <a:solidFill>
                <a:srgbClr val="1D7A4A"/>
              </a:solidFill>
              <a:prstDash val="solid"/>
            </a:ln>
          </c:spPr>
          <c:marker>
            <c:symbol val="none"/>
          </c:marker>
          <c:val>
            <c:numRef>
              <c:f>Циклы!$L$3:$L$13</c:f>
              <c:numCache>
                <c:formatCode>#,##0</c:formatCode>
                <c:ptCount val="11"/>
                <c:pt idx="0">
                  <c:v>7300</c:v>
                </c:pt>
                <c:pt idx="1">
                  <c:v>9100</c:v>
                </c:pt>
                <c:pt idx="2">
                  <c:v>18400</c:v>
                </c:pt>
                <c:pt idx="3">
                  <c:v>20600</c:v>
                </c:pt>
                <c:pt idx="4">
                  <c:v>29200</c:v>
                </c:pt>
                <c:pt idx="5">
                  <c:v>22724</c:v>
                </c:pt>
                <c:pt idx="6">
                  <c:v>32524</c:v>
                </c:pt>
                <c:pt idx="7">
                  <c:v>41024</c:v>
                </c:pt>
                <c:pt idx="8">
                  <c:v>43824</c:v>
                </c:pt>
                <c:pt idx="9">
                  <c:v>52924</c:v>
                </c:pt>
                <c:pt idx="10">
                  <c:v>61924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16-4FA3-9831-38985FF04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Цикл №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P&amp;L (</a:t>
                </a:r>
                <a:r>
                  <a:rPr lang="ru-RU"/>
                  <a:t>руб.)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ru-RU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</xdr:row>
          <xdr:rowOff>0</xdr:rowOff>
        </xdr:from>
        <xdr:to>
          <xdr:col>7</xdr:col>
          <xdr:colOff>19050</xdr:colOff>
          <xdr:row>13</xdr:row>
          <xdr:rowOff>38100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1A1F2E"/>
  </sheetPr>
  <dimension ref="B1:G79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G8" sqref="G8"/>
    </sheetView>
  </sheetViews>
  <sheetFormatPr defaultRowHeight="15" x14ac:dyDescent="0.25"/>
  <cols>
    <col min="1" max="1" width="2" customWidth="1"/>
    <col min="2" max="2" width="22" customWidth="1"/>
    <col min="3" max="3" width="16" customWidth="1"/>
    <col min="4" max="4" width="22" customWidth="1"/>
    <col min="5" max="5" width="16" customWidth="1"/>
    <col min="6" max="6" width="22" customWidth="1"/>
    <col min="7" max="7" width="16" customWidth="1"/>
    <col min="8" max="8" width="2" customWidth="1"/>
  </cols>
  <sheetData>
    <row r="1" spans="2:7" ht="20.100000000000001" customHeight="1" x14ac:dyDescent="0.25"/>
    <row r="2" spans="2:7" ht="20.100000000000001" customHeight="1" x14ac:dyDescent="0.25">
      <c r="B2" s="71" t="s">
        <v>0</v>
      </c>
      <c r="C2" s="72"/>
      <c r="D2" s="72"/>
      <c r="E2" s="72"/>
      <c r="F2" s="72"/>
      <c r="G2" s="72"/>
    </row>
    <row r="3" spans="2:7" ht="20.100000000000001" customHeight="1" x14ac:dyDescent="0.25">
      <c r="B3" s="83" t="s">
        <v>1</v>
      </c>
      <c r="C3" s="72"/>
      <c r="D3" s="72"/>
      <c r="E3" s="72"/>
      <c r="F3" s="72"/>
      <c r="G3" s="72"/>
    </row>
    <row r="4" spans="2:7" ht="20.100000000000001" customHeight="1" x14ac:dyDescent="0.25"/>
    <row r="5" spans="2:7" ht="20.100000000000001" customHeight="1" x14ac:dyDescent="0.25">
      <c r="B5" s="79" t="s">
        <v>2</v>
      </c>
      <c r="C5" s="72"/>
      <c r="D5" s="77" t="s">
        <v>3</v>
      </c>
      <c r="E5" s="72"/>
      <c r="F5" s="72"/>
      <c r="G5" s="72"/>
    </row>
    <row r="6" spans="2:7" ht="20.100000000000001" customHeight="1" x14ac:dyDescent="0.25">
      <c r="B6" s="1" t="s">
        <v>4</v>
      </c>
      <c r="C6" s="2">
        <v>305</v>
      </c>
      <c r="D6" s="3" t="s">
        <v>5</v>
      </c>
      <c r="E6" s="98">
        <f ca="1">TODAY()</f>
        <v>46127</v>
      </c>
      <c r="F6" s="4" t="s">
        <v>6</v>
      </c>
    </row>
    <row r="7" spans="2:7" ht="20.100000000000001" customHeight="1" x14ac:dyDescent="0.25">
      <c r="B7" s="1" t="s">
        <v>7</v>
      </c>
      <c r="C7" s="2">
        <v>315</v>
      </c>
      <c r="D7" s="3" t="s">
        <v>8</v>
      </c>
      <c r="E7" s="5">
        <v>317.2</v>
      </c>
      <c r="F7" s="4" t="s">
        <v>9</v>
      </c>
    </row>
    <row r="8" spans="2:7" ht="20.100000000000001" customHeight="1" x14ac:dyDescent="0.25">
      <c r="B8" s="1" t="s">
        <v>10</v>
      </c>
      <c r="C8" s="2">
        <v>320</v>
      </c>
      <c r="D8" s="3" t="s">
        <v>11</v>
      </c>
      <c r="E8" s="5">
        <v>319.85000000000002</v>
      </c>
      <c r="F8" s="4" t="s">
        <v>12</v>
      </c>
    </row>
    <row r="9" spans="2:7" ht="20.100000000000001" customHeight="1" x14ac:dyDescent="0.25">
      <c r="B9" s="1" t="s">
        <v>13</v>
      </c>
      <c r="C9" s="2">
        <v>330</v>
      </c>
      <c r="D9" s="3" t="s">
        <v>14</v>
      </c>
      <c r="E9" s="5">
        <v>314.10000000000002</v>
      </c>
      <c r="F9" s="4" t="s">
        <v>15</v>
      </c>
    </row>
    <row r="10" spans="2:7" ht="20.100000000000001" customHeight="1" x14ac:dyDescent="0.25">
      <c r="B10" s="1" t="s">
        <v>16</v>
      </c>
      <c r="C10" s="2">
        <v>1000</v>
      </c>
      <c r="D10" s="3" t="s">
        <v>17</v>
      </c>
      <c r="E10" s="5">
        <v>316.39999999999998</v>
      </c>
      <c r="F10" s="4" t="s">
        <v>18</v>
      </c>
    </row>
    <row r="11" spans="2:7" ht="20.100000000000001" customHeight="1" x14ac:dyDescent="0.25">
      <c r="B11" s="1" t="s">
        <v>19</v>
      </c>
      <c r="C11" s="2">
        <v>317.2</v>
      </c>
      <c r="D11" s="3" t="s">
        <v>20</v>
      </c>
      <c r="E11" s="5">
        <v>8.9</v>
      </c>
      <c r="F11" s="4" t="s">
        <v>21</v>
      </c>
    </row>
    <row r="12" spans="2:7" ht="20.100000000000001" customHeight="1" x14ac:dyDescent="0.25">
      <c r="B12" s="1" t="s">
        <v>22</v>
      </c>
      <c r="C12" s="2">
        <v>317</v>
      </c>
    </row>
    <row r="13" spans="2:7" ht="20.100000000000001" customHeight="1" x14ac:dyDescent="0.25">
      <c r="B13" s="1" t="s">
        <v>23</v>
      </c>
      <c r="C13" s="2" t="s">
        <v>24</v>
      </c>
    </row>
    <row r="14" spans="2:7" ht="20.100000000000001" customHeight="1" x14ac:dyDescent="0.25"/>
    <row r="15" spans="2:7" ht="20.100000000000001" customHeight="1" x14ac:dyDescent="0.25">
      <c r="B15" s="79" t="s">
        <v>25</v>
      </c>
      <c r="C15" s="72"/>
      <c r="D15" s="72"/>
      <c r="E15" s="72"/>
      <c r="F15" s="72"/>
      <c r="G15" s="72"/>
    </row>
    <row r="16" spans="2:7" ht="20.100000000000001" customHeight="1" x14ac:dyDescent="0.25">
      <c r="B16" s="1" t="s">
        <v>26</v>
      </c>
      <c r="C16" s="6">
        <f>E8-E9</f>
        <v>5.75</v>
      </c>
      <c r="D16" s="7" t="s">
        <v>27</v>
      </c>
      <c r="E16" s="80"/>
      <c r="F16" s="72"/>
      <c r="G16" s="72"/>
    </row>
    <row r="17" spans="2:7" ht="20.100000000000001" customHeight="1" x14ac:dyDescent="0.25">
      <c r="B17" s="1" t="s">
        <v>28</v>
      </c>
      <c r="C17" s="6">
        <f>E7-E10</f>
        <v>0.80000000000001137</v>
      </c>
      <c r="D17" s="1" t="s">
        <v>29</v>
      </c>
      <c r="E17" s="82"/>
      <c r="F17" s="72"/>
      <c r="G17" s="72"/>
    </row>
    <row r="18" spans="2:7" ht="20.100000000000001" customHeight="1" x14ac:dyDescent="0.25">
      <c r="B18" s="1" t="s">
        <v>30</v>
      </c>
      <c r="C18" s="6">
        <f>ABS(E7-C12)</f>
        <v>0.19999999999998863</v>
      </c>
      <c r="D18" s="1" t="s">
        <v>31</v>
      </c>
      <c r="E18" s="82"/>
      <c r="F18" s="72"/>
      <c r="G18" s="72"/>
    </row>
    <row r="19" spans="2:7" ht="20.100000000000001" customHeight="1" x14ac:dyDescent="0.25"/>
    <row r="20" spans="2:7" ht="20.100000000000001" customHeight="1" x14ac:dyDescent="0.25">
      <c r="B20" s="81" t="s">
        <v>32</v>
      </c>
      <c r="C20" s="72"/>
      <c r="D20" s="72"/>
      <c r="E20" s="72"/>
      <c r="F20" s="72"/>
      <c r="G20" s="72"/>
    </row>
    <row r="21" spans="2:7" ht="20.100000000000001" customHeight="1" x14ac:dyDescent="0.25">
      <c r="B21" s="8" t="s">
        <v>33</v>
      </c>
      <c r="C21" s="9">
        <v>0</v>
      </c>
      <c r="D21" s="1" t="s">
        <v>34</v>
      </c>
      <c r="E21" s="82"/>
      <c r="F21" s="72"/>
      <c r="G21" s="72"/>
    </row>
    <row r="22" spans="2:7" ht="20.100000000000001" customHeight="1" x14ac:dyDescent="0.25"/>
    <row r="23" spans="2:7" ht="20.100000000000001" customHeight="1" x14ac:dyDescent="0.25">
      <c r="B23" s="76" t="s">
        <v>35</v>
      </c>
      <c r="C23" s="72"/>
      <c r="D23" s="72"/>
      <c r="E23" s="72"/>
      <c r="F23" s="72"/>
      <c r="G23" s="72"/>
    </row>
    <row r="24" spans="2:7" ht="20.100000000000001" customHeight="1" x14ac:dyDescent="0.25">
      <c r="B24" s="1" t="s">
        <v>36</v>
      </c>
      <c r="C24" s="10">
        <v>0</v>
      </c>
      <c r="D24" s="78" t="s">
        <v>37</v>
      </c>
      <c r="E24" s="72"/>
      <c r="F24" s="72"/>
      <c r="G24" s="72"/>
    </row>
    <row r="25" spans="2:7" ht="20.100000000000001" customHeight="1" x14ac:dyDescent="0.25">
      <c r="B25" s="1" t="s">
        <v>38</v>
      </c>
      <c r="C25" s="10">
        <v>0</v>
      </c>
      <c r="D25" s="72"/>
      <c r="E25" s="72"/>
      <c r="F25" s="72"/>
      <c r="G25" s="72"/>
    </row>
    <row r="26" spans="2:7" ht="20.100000000000001" customHeight="1" x14ac:dyDescent="0.25">
      <c r="B26" s="1" t="s">
        <v>39</v>
      </c>
      <c r="C26" s="10">
        <v>0</v>
      </c>
      <c r="D26" s="72"/>
      <c r="E26" s="72"/>
      <c r="F26" s="72"/>
      <c r="G26" s="72"/>
    </row>
    <row r="27" spans="2:7" ht="20.100000000000001" customHeight="1" x14ac:dyDescent="0.25">
      <c r="B27" s="1" t="s">
        <v>40</v>
      </c>
      <c r="C27" s="10">
        <v>0</v>
      </c>
      <c r="D27" s="72"/>
      <c r="E27" s="72"/>
      <c r="F27" s="72"/>
      <c r="G27" s="72"/>
    </row>
    <row r="28" spans="2:7" ht="20.100000000000001" customHeight="1" x14ac:dyDescent="0.25">
      <c r="B28" s="1" t="s">
        <v>41</v>
      </c>
      <c r="C28" s="10">
        <v>0</v>
      </c>
      <c r="D28" s="72"/>
      <c r="E28" s="72"/>
      <c r="F28" s="72"/>
      <c r="G28" s="72"/>
    </row>
    <row r="29" spans="2:7" ht="20.100000000000001" customHeight="1" x14ac:dyDescent="0.25">
      <c r="B29" s="11" t="s">
        <v>42</v>
      </c>
      <c r="C29" s="12">
        <f>SUM(C24:C28)</f>
        <v>0</v>
      </c>
      <c r="D29" s="13" t="s">
        <v>43</v>
      </c>
      <c r="E29" s="14"/>
    </row>
    <row r="30" spans="2:7" ht="20.100000000000001" customHeight="1" x14ac:dyDescent="0.25"/>
    <row r="31" spans="2:7" ht="20.100000000000001" customHeight="1" x14ac:dyDescent="0.25">
      <c r="B31" s="85" t="s">
        <v>44</v>
      </c>
      <c r="C31" s="72"/>
      <c r="D31" s="72"/>
      <c r="E31" s="72"/>
      <c r="F31" s="72"/>
      <c r="G31" s="72"/>
    </row>
    <row r="32" spans="2:7" ht="20.100000000000001" customHeight="1" x14ac:dyDescent="0.25">
      <c r="B32" s="15" t="s">
        <v>45</v>
      </c>
      <c r="C32" s="74" t="s">
        <v>46</v>
      </c>
      <c r="D32" s="72"/>
      <c r="E32" s="72"/>
      <c r="F32" s="72"/>
      <c r="G32" s="72"/>
    </row>
    <row r="33" spans="2:7" ht="20.100000000000001" customHeight="1" x14ac:dyDescent="0.25">
      <c r="B33" s="15" t="s">
        <v>47</v>
      </c>
      <c r="C33" s="74" t="s">
        <v>48</v>
      </c>
      <c r="D33" s="72"/>
      <c r="E33" s="72"/>
      <c r="F33" s="72"/>
      <c r="G33" s="72"/>
    </row>
    <row r="34" spans="2:7" ht="20.100000000000001" customHeight="1" x14ac:dyDescent="0.25">
      <c r="B34" s="15" t="s">
        <v>49</v>
      </c>
      <c r="C34" s="74" t="s">
        <v>50</v>
      </c>
      <c r="D34" s="72"/>
      <c r="E34" s="72"/>
      <c r="F34" s="72"/>
      <c r="G34" s="72"/>
    </row>
    <row r="35" spans="2:7" ht="20.100000000000001" customHeight="1" x14ac:dyDescent="0.25">
      <c r="B35" s="15" t="s">
        <v>51</v>
      </c>
      <c r="C35" s="74" t="s">
        <v>52</v>
      </c>
      <c r="D35" s="72"/>
      <c r="E35" s="72"/>
      <c r="F35" s="72"/>
      <c r="G35" s="72"/>
    </row>
    <row r="36" spans="2:7" ht="20.100000000000001" customHeight="1" x14ac:dyDescent="0.25">
      <c r="B36" s="15" t="s">
        <v>53</v>
      </c>
      <c r="C36" s="74" t="s">
        <v>54</v>
      </c>
      <c r="D36" s="72"/>
      <c r="E36" s="72"/>
      <c r="F36" s="72"/>
      <c r="G36" s="72"/>
    </row>
    <row r="37" spans="2:7" ht="20.100000000000001" customHeight="1" x14ac:dyDescent="0.25"/>
    <row r="38" spans="2:7" ht="20.100000000000001" customHeight="1" x14ac:dyDescent="0.25">
      <c r="B38" s="77" t="s">
        <v>55</v>
      </c>
      <c r="C38" s="72"/>
      <c r="D38" s="72"/>
      <c r="E38" s="72"/>
      <c r="F38" s="72"/>
      <c r="G38" s="72"/>
    </row>
    <row r="39" spans="2:7" ht="20.100000000000001" customHeight="1" x14ac:dyDescent="0.25">
      <c r="B39" s="16" t="s">
        <v>56</v>
      </c>
      <c r="C39" s="75">
        <f>E16</f>
        <v>0</v>
      </c>
      <c r="D39" s="72"/>
      <c r="E39" s="72"/>
      <c r="F39" s="72"/>
      <c r="G39" s="72"/>
    </row>
    <row r="40" spans="2:7" ht="20.100000000000001" customHeight="1" x14ac:dyDescent="0.25">
      <c r="B40" s="16" t="s">
        <v>57</v>
      </c>
      <c r="C40" s="75"/>
      <c r="D40" s="72"/>
      <c r="E40" s="72"/>
      <c r="F40" s="72"/>
      <c r="G40" s="72"/>
    </row>
    <row r="41" spans="2:7" ht="20.100000000000001" customHeight="1" x14ac:dyDescent="0.25">
      <c r="B41" s="16" t="s">
        <v>58</v>
      </c>
      <c r="C41" s="75">
        <f>E17</f>
        <v>0</v>
      </c>
      <c r="D41" s="72"/>
      <c r="E41" s="72"/>
      <c r="F41" s="72"/>
      <c r="G41" s="72"/>
    </row>
    <row r="42" spans="2:7" ht="20.100000000000001" customHeight="1" x14ac:dyDescent="0.25">
      <c r="B42" s="16" t="s">
        <v>59</v>
      </c>
      <c r="C42" s="75">
        <f>E18</f>
        <v>0</v>
      </c>
      <c r="D42" s="72"/>
      <c r="E42" s="72"/>
      <c r="F42" s="72"/>
      <c r="G42" s="72"/>
    </row>
    <row r="43" spans="2:7" ht="20.100000000000001" customHeight="1" x14ac:dyDescent="0.25">
      <c r="B43" s="16" t="s">
        <v>60</v>
      </c>
      <c r="C43" s="75">
        <f>E21</f>
        <v>0</v>
      </c>
      <c r="D43" s="72"/>
      <c r="E43" s="72"/>
      <c r="F43" s="72"/>
      <c r="G43" s="72"/>
    </row>
    <row r="44" spans="2:7" ht="20.100000000000001" customHeight="1" x14ac:dyDescent="0.25">
      <c r="B44" s="16" t="s">
        <v>61</v>
      </c>
      <c r="C44" s="75" t="s">
        <v>62</v>
      </c>
      <c r="D44" s="72"/>
      <c r="E44" s="72"/>
      <c r="F44" s="72"/>
      <c r="G44" s="72"/>
    </row>
    <row r="45" spans="2:7" ht="20.100000000000001" customHeight="1" x14ac:dyDescent="0.25"/>
    <row r="46" spans="2:7" ht="20.100000000000001" customHeight="1" x14ac:dyDescent="0.25">
      <c r="B46" s="84" t="s">
        <v>63</v>
      </c>
      <c r="C46" s="72"/>
      <c r="D46" s="72"/>
      <c r="E46" s="72"/>
      <c r="F46" s="72"/>
      <c r="G46" s="72"/>
    </row>
    <row r="47" spans="2:7" ht="20.100000000000001" customHeight="1" x14ac:dyDescent="0.25"/>
    <row r="48" spans="2:7" ht="20.100000000000001" customHeight="1" x14ac:dyDescent="0.25">
      <c r="B48" s="86" t="s">
        <v>64</v>
      </c>
      <c r="C48" s="72"/>
      <c r="D48" s="72"/>
      <c r="E48" s="72"/>
      <c r="F48" s="72"/>
      <c r="G48" s="72"/>
    </row>
    <row r="49" spans="2:7" ht="20.100000000000001" customHeight="1" x14ac:dyDescent="0.25">
      <c r="B49" s="17" t="s">
        <v>65</v>
      </c>
      <c r="C49" s="73" t="s">
        <v>66</v>
      </c>
      <c r="D49" s="72"/>
      <c r="E49" s="72"/>
      <c r="F49" s="72"/>
      <c r="G49" s="72"/>
    </row>
    <row r="50" spans="2:7" ht="20.100000000000001" customHeight="1" x14ac:dyDescent="0.25">
      <c r="B50" s="17" t="s">
        <v>67</v>
      </c>
      <c r="C50" s="73" t="s">
        <v>68</v>
      </c>
      <c r="D50" s="72"/>
      <c r="E50" s="72"/>
      <c r="F50" s="72"/>
      <c r="G50" s="72"/>
    </row>
    <row r="51" spans="2:7" ht="20.100000000000001" customHeight="1" x14ac:dyDescent="0.25">
      <c r="B51" s="17" t="s">
        <v>69</v>
      </c>
      <c r="C51" s="73" t="s">
        <v>70</v>
      </c>
      <c r="D51" s="72"/>
      <c r="E51" s="72"/>
      <c r="F51" s="72"/>
      <c r="G51" s="72"/>
    </row>
    <row r="52" spans="2:7" ht="20.100000000000001" customHeight="1" x14ac:dyDescent="0.25"/>
    <row r="53" spans="2:7" ht="20.100000000000001" customHeight="1" x14ac:dyDescent="0.25"/>
    <row r="54" spans="2:7" ht="20.100000000000001" customHeight="1" x14ac:dyDescent="0.25"/>
    <row r="55" spans="2:7" ht="20.100000000000001" customHeight="1" x14ac:dyDescent="0.25"/>
    <row r="56" spans="2:7" ht="20.100000000000001" customHeight="1" x14ac:dyDescent="0.25"/>
    <row r="57" spans="2:7" ht="20.100000000000001" customHeight="1" x14ac:dyDescent="0.25"/>
    <row r="58" spans="2:7" ht="20.100000000000001" customHeight="1" x14ac:dyDescent="0.25"/>
    <row r="59" spans="2:7" ht="20.100000000000001" customHeight="1" x14ac:dyDescent="0.25"/>
    <row r="60" spans="2:7" ht="20.100000000000001" customHeight="1" x14ac:dyDescent="0.25"/>
    <row r="61" spans="2:7" ht="20.100000000000001" customHeight="1" x14ac:dyDescent="0.25"/>
    <row r="62" spans="2:7" ht="20.100000000000001" customHeight="1" x14ac:dyDescent="0.25"/>
    <row r="63" spans="2:7" ht="20.100000000000001" customHeight="1" x14ac:dyDescent="0.25"/>
    <row r="64" spans="2:7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</sheetData>
  <mergeCells count="30">
    <mergeCell ref="C51:G51"/>
    <mergeCell ref="E18:G18"/>
    <mergeCell ref="C36:G36"/>
    <mergeCell ref="E21:G21"/>
    <mergeCell ref="C39:G39"/>
    <mergeCell ref="B46:G46"/>
    <mergeCell ref="C32:G32"/>
    <mergeCell ref="B31:G31"/>
    <mergeCell ref="B48:G48"/>
    <mergeCell ref="C50:G50"/>
    <mergeCell ref="C44:G44"/>
    <mergeCell ref="C41:G41"/>
    <mergeCell ref="D24:G28"/>
    <mergeCell ref="C40:G40"/>
    <mergeCell ref="C43:G43"/>
    <mergeCell ref="B2:G2"/>
    <mergeCell ref="C49:G49"/>
    <mergeCell ref="C34:G34"/>
    <mergeCell ref="C42:G42"/>
    <mergeCell ref="B23:G23"/>
    <mergeCell ref="C33:G33"/>
    <mergeCell ref="D5:G5"/>
    <mergeCell ref="B38:G38"/>
    <mergeCell ref="C35:G35"/>
    <mergeCell ref="B15:G15"/>
    <mergeCell ref="E16:G16"/>
    <mergeCell ref="B20:G20"/>
    <mergeCell ref="B3:G3"/>
    <mergeCell ref="B5:C5"/>
    <mergeCell ref="E17:G17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3073" r:id="rId3" name="CommandButton1">
          <controlPr defaultSize="0" autoLine="0" r:id="rId4">
            <anchor moveWithCells="1">
              <from>
                <xdr:col>6</xdr:col>
                <xdr:colOff>0</xdr:colOff>
                <xdr:row>11</xdr:row>
                <xdr:rowOff>0</xdr:rowOff>
              </from>
              <to>
                <xdr:col>7</xdr:col>
                <xdr:colOff>19050</xdr:colOff>
                <xdr:row>13</xdr:row>
                <xdr:rowOff>38100</xdr:rowOff>
              </to>
            </anchor>
          </controlPr>
        </control>
      </mc:Choice>
      <mc:Fallback>
        <control shapeId="3073" r:id="rId3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A7A8A"/>
  </sheetPr>
  <dimension ref="B1:P60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14" customWidth="1"/>
    <col min="3" max="7" width="9" customWidth="1"/>
    <col min="8" max="10" width="8" customWidth="1"/>
    <col min="11" max="13" width="14" customWidth="1"/>
    <col min="14" max="16" width="10" customWidth="1"/>
    <col min="17" max="17" width="2" customWidth="1"/>
  </cols>
  <sheetData>
    <row r="1" spans="2:16" ht="27.95" customHeight="1" x14ac:dyDescent="0.25">
      <c r="B1" s="90" t="s">
        <v>71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2" spans="2:16" ht="21.95" customHeight="1" x14ac:dyDescent="0.25">
      <c r="B2" s="91" t="s">
        <v>5</v>
      </c>
      <c r="C2" s="89" t="s">
        <v>72</v>
      </c>
      <c r="D2" s="72"/>
      <c r="E2" s="72"/>
      <c r="F2" s="72"/>
      <c r="G2" s="72"/>
      <c r="H2" s="91" t="s">
        <v>73</v>
      </c>
      <c r="I2" s="72"/>
      <c r="J2" s="72"/>
      <c r="K2" s="92" t="s">
        <v>56</v>
      </c>
      <c r="L2" s="87" t="s">
        <v>74</v>
      </c>
      <c r="M2" s="72"/>
      <c r="N2" s="88" t="s">
        <v>75</v>
      </c>
      <c r="O2" s="72"/>
      <c r="P2" s="72"/>
    </row>
    <row r="3" spans="2:16" ht="30" customHeight="1" x14ac:dyDescent="0.25">
      <c r="B3" s="72"/>
      <c r="C3" s="19" t="s">
        <v>8</v>
      </c>
      <c r="D3" s="19" t="s">
        <v>11</v>
      </c>
      <c r="E3" s="19" t="s">
        <v>14</v>
      </c>
      <c r="F3" s="19" t="s">
        <v>76</v>
      </c>
      <c r="G3" s="19" t="s">
        <v>77</v>
      </c>
      <c r="H3" s="19" t="s">
        <v>78</v>
      </c>
      <c r="I3" s="19" t="s">
        <v>28</v>
      </c>
      <c r="J3" s="19" t="s">
        <v>79</v>
      </c>
      <c r="K3" s="72"/>
      <c r="L3" s="19" t="s">
        <v>80</v>
      </c>
      <c r="M3" s="19" t="s">
        <v>81</v>
      </c>
      <c r="N3" s="19" t="s">
        <v>82</v>
      </c>
      <c r="O3" s="19" t="s">
        <v>83</v>
      </c>
      <c r="P3" s="19" t="s">
        <v>84</v>
      </c>
    </row>
    <row r="4" spans="2:16" ht="18" customHeight="1" x14ac:dyDescent="0.25">
      <c r="B4" s="20"/>
      <c r="C4" s="21"/>
      <c r="D4" s="21"/>
      <c r="E4" s="21"/>
      <c r="F4" s="21"/>
      <c r="G4" s="22"/>
      <c r="H4" s="23"/>
      <c r="I4" s="23"/>
      <c r="J4" s="23"/>
      <c r="K4" s="24"/>
      <c r="L4" s="24"/>
      <c r="M4" s="24"/>
      <c r="N4" s="25"/>
      <c r="O4" s="25"/>
      <c r="P4" s="26"/>
    </row>
    <row r="5" spans="2:16" ht="18" customHeight="1" x14ac:dyDescent="0.25">
      <c r="B5" s="20"/>
      <c r="C5" s="27"/>
      <c r="D5" s="27"/>
      <c r="E5" s="27"/>
      <c r="F5" s="27"/>
      <c r="G5" s="28"/>
      <c r="H5" s="23"/>
      <c r="I5" s="23"/>
      <c r="J5" s="23"/>
      <c r="K5" s="24"/>
      <c r="L5" s="24"/>
      <c r="M5" s="24"/>
      <c r="N5" s="29"/>
      <c r="O5" s="29"/>
      <c r="P5" s="26"/>
    </row>
    <row r="6" spans="2:16" ht="18" customHeight="1" x14ac:dyDescent="0.25">
      <c r="B6" s="20"/>
      <c r="C6" s="21"/>
      <c r="D6" s="21"/>
      <c r="E6" s="21"/>
      <c r="F6" s="21"/>
      <c r="G6" s="22"/>
      <c r="H6" s="23"/>
      <c r="I6" s="23"/>
      <c r="J6" s="23"/>
      <c r="K6" s="24"/>
      <c r="L6" s="24"/>
      <c r="M6" s="24"/>
      <c r="N6" s="25"/>
      <c r="O6" s="25"/>
      <c r="P6" s="26"/>
    </row>
    <row r="7" spans="2:16" ht="18" customHeight="1" x14ac:dyDescent="0.25">
      <c r="B7" s="20"/>
      <c r="C7" s="27"/>
      <c r="D7" s="27"/>
      <c r="E7" s="27"/>
      <c r="F7" s="27"/>
      <c r="G7" s="28"/>
      <c r="H7" s="23"/>
      <c r="I7" s="23"/>
      <c r="J7" s="23"/>
      <c r="K7" s="24"/>
      <c r="L7" s="24"/>
      <c r="M7" s="24"/>
      <c r="N7" s="29"/>
      <c r="O7" s="29"/>
      <c r="P7" s="26"/>
    </row>
    <row r="8" spans="2:16" ht="18" customHeight="1" x14ac:dyDescent="0.25">
      <c r="B8" s="20"/>
      <c r="C8" s="21"/>
      <c r="D8" s="21"/>
      <c r="E8" s="21"/>
      <c r="F8" s="21"/>
      <c r="G8" s="22"/>
      <c r="H8" s="23"/>
      <c r="I8" s="23"/>
      <c r="J8" s="23"/>
      <c r="K8" s="24"/>
      <c r="L8" s="24"/>
      <c r="M8" s="24"/>
      <c r="N8" s="25"/>
      <c r="O8" s="25"/>
      <c r="P8" s="26"/>
    </row>
    <row r="9" spans="2:16" ht="18" customHeight="1" x14ac:dyDescent="0.25">
      <c r="B9" s="20"/>
      <c r="C9" s="27"/>
      <c r="D9" s="27"/>
      <c r="E9" s="27"/>
      <c r="F9" s="27"/>
      <c r="G9" s="28"/>
      <c r="H9" s="23"/>
      <c r="I9" s="23"/>
      <c r="J9" s="23"/>
      <c r="K9" s="24"/>
      <c r="L9" s="24"/>
      <c r="M9" s="24"/>
      <c r="N9" s="29"/>
      <c r="O9" s="29"/>
      <c r="P9" s="26"/>
    </row>
    <row r="10" spans="2:16" ht="18" customHeight="1" x14ac:dyDescent="0.25">
      <c r="B10" s="20"/>
      <c r="C10" s="21"/>
      <c r="D10" s="21"/>
      <c r="E10" s="21"/>
      <c r="F10" s="21"/>
      <c r="G10" s="22"/>
      <c r="H10" s="23"/>
      <c r="I10" s="23"/>
      <c r="J10" s="23"/>
      <c r="K10" s="24"/>
      <c r="L10" s="24"/>
      <c r="M10" s="24"/>
      <c r="N10" s="25"/>
      <c r="O10" s="25"/>
      <c r="P10" s="26"/>
    </row>
    <row r="11" spans="2:16" ht="18" customHeight="1" x14ac:dyDescent="0.25">
      <c r="B11" s="20"/>
      <c r="C11" s="27"/>
      <c r="D11" s="27"/>
      <c r="E11" s="27"/>
      <c r="F11" s="27"/>
      <c r="G11" s="28"/>
      <c r="H11" s="23"/>
      <c r="I11" s="23"/>
      <c r="J11" s="23"/>
      <c r="K11" s="24"/>
      <c r="L11" s="24"/>
      <c r="M11" s="24"/>
      <c r="N11" s="29"/>
      <c r="O11" s="29"/>
      <c r="P11" s="26"/>
    </row>
    <row r="12" spans="2:16" ht="18" customHeight="1" x14ac:dyDescent="0.25">
      <c r="B12" s="20"/>
      <c r="C12" s="21"/>
      <c r="D12" s="21"/>
      <c r="E12" s="21"/>
      <c r="F12" s="21"/>
      <c r="G12" s="22"/>
      <c r="H12" s="23"/>
      <c r="I12" s="23"/>
      <c r="J12" s="23"/>
      <c r="K12" s="24"/>
      <c r="L12" s="24"/>
      <c r="M12" s="24"/>
      <c r="N12" s="25"/>
      <c r="O12" s="25"/>
      <c r="P12" s="26"/>
    </row>
    <row r="13" spans="2:16" ht="18" customHeight="1" x14ac:dyDescent="0.25">
      <c r="B13" s="20"/>
      <c r="C13" s="27"/>
      <c r="D13" s="27"/>
      <c r="E13" s="27"/>
      <c r="F13" s="27"/>
      <c r="G13" s="28"/>
      <c r="H13" s="23"/>
      <c r="I13" s="23"/>
      <c r="J13" s="23"/>
      <c r="K13" s="24"/>
      <c r="L13" s="24"/>
      <c r="M13" s="24"/>
      <c r="N13" s="29"/>
      <c r="O13" s="29"/>
      <c r="P13" s="26"/>
    </row>
    <row r="14" spans="2:16" ht="18" customHeight="1" x14ac:dyDescent="0.25">
      <c r="B14" s="20"/>
      <c r="C14" s="21"/>
      <c r="D14" s="21"/>
      <c r="E14" s="21"/>
      <c r="F14" s="21"/>
      <c r="G14" s="22"/>
      <c r="H14" s="23"/>
      <c r="I14" s="23"/>
      <c r="J14" s="23"/>
      <c r="K14" s="24"/>
      <c r="L14" s="24"/>
      <c r="M14" s="24"/>
      <c r="N14" s="25"/>
      <c r="O14" s="25"/>
      <c r="P14" s="26"/>
    </row>
    <row r="15" spans="2:16" ht="18" customHeight="1" x14ac:dyDescent="0.25">
      <c r="B15" s="20"/>
      <c r="C15" s="27"/>
      <c r="D15" s="27"/>
      <c r="E15" s="27"/>
      <c r="F15" s="27"/>
      <c r="G15" s="28"/>
      <c r="H15" s="23"/>
      <c r="I15" s="23"/>
      <c r="J15" s="23"/>
      <c r="K15" s="24"/>
      <c r="L15" s="24"/>
      <c r="M15" s="24"/>
      <c r="N15" s="29"/>
      <c r="O15" s="29"/>
      <c r="P15" s="26"/>
    </row>
    <row r="16" spans="2:16" ht="18" customHeight="1" x14ac:dyDescent="0.25">
      <c r="B16" s="20"/>
      <c r="C16" s="21"/>
      <c r="D16" s="21"/>
      <c r="E16" s="21"/>
      <c r="F16" s="21"/>
      <c r="G16" s="22"/>
      <c r="H16" s="23"/>
      <c r="I16" s="23"/>
      <c r="J16" s="23"/>
      <c r="K16" s="24"/>
      <c r="L16" s="24"/>
      <c r="M16" s="24"/>
      <c r="N16" s="25"/>
      <c r="O16" s="25"/>
      <c r="P16" s="26"/>
    </row>
    <row r="17" spans="2:16" ht="18" customHeight="1" x14ac:dyDescent="0.25">
      <c r="B17" s="20"/>
      <c r="C17" s="27"/>
      <c r="D17" s="27"/>
      <c r="E17" s="27"/>
      <c r="F17" s="27"/>
      <c r="G17" s="28"/>
      <c r="H17" s="23"/>
      <c r="I17" s="23"/>
      <c r="J17" s="23"/>
      <c r="K17" s="24"/>
      <c r="L17" s="24"/>
      <c r="M17" s="24"/>
      <c r="N17" s="29"/>
      <c r="O17" s="29"/>
      <c r="P17" s="26"/>
    </row>
    <row r="18" spans="2:16" ht="18" customHeight="1" x14ac:dyDescent="0.25">
      <c r="B18" s="20"/>
      <c r="C18" s="21"/>
      <c r="D18" s="21"/>
      <c r="E18" s="21"/>
      <c r="F18" s="21"/>
      <c r="G18" s="22"/>
      <c r="H18" s="23"/>
      <c r="I18" s="23"/>
      <c r="J18" s="23"/>
      <c r="K18" s="24"/>
      <c r="L18" s="24"/>
      <c r="M18" s="24"/>
      <c r="N18" s="25"/>
      <c r="O18" s="25"/>
      <c r="P18" s="26"/>
    </row>
    <row r="19" spans="2:16" ht="18" customHeight="1" x14ac:dyDescent="0.25">
      <c r="B19" s="20"/>
      <c r="C19" s="27"/>
      <c r="D19" s="27"/>
      <c r="E19" s="27"/>
      <c r="F19" s="27"/>
      <c r="G19" s="28"/>
      <c r="H19" s="23"/>
      <c r="I19" s="23"/>
      <c r="J19" s="23"/>
      <c r="K19" s="24"/>
      <c r="L19" s="24"/>
      <c r="M19" s="24"/>
      <c r="N19" s="29"/>
      <c r="O19" s="29"/>
      <c r="P19" s="26"/>
    </row>
    <row r="20" spans="2:16" ht="18" customHeight="1" x14ac:dyDescent="0.25">
      <c r="B20" s="20"/>
      <c r="C20" s="21"/>
      <c r="D20" s="21"/>
      <c r="E20" s="21"/>
      <c r="F20" s="21"/>
      <c r="G20" s="22"/>
      <c r="H20" s="23"/>
      <c r="I20" s="23"/>
      <c r="J20" s="23"/>
      <c r="K20" s="24"/>
      <c r="L20" s="24"/>
      <c r="M20" s="24"/>
      <c r="N20" s="25"/>
      <c r="O20" s="25"/>
      <c r="P20" s="26"/>
    </row>
    <row r="21" spans="2:16" ht="18" customHeight="1" x14ac:dyDescent="0.25">
      <c r="B21" s="20"/>
      <c r="C21" s="27"/>
      <c r="D21" s="27"/>
      <c r="E21" s="27"/>
      <c r="F21" s="27"/>
      <c r="G21" s="28"/>
      <c r="H21" s="23"/>
      <c r="I21" s="23"/>
      <c r="J21" s="23"/>
      <c r="K21" s="24"/>
      <c r="L21" s="24"/>
      <c r="M21" s="24"/>
      <c r="N21" s="29"/>
      <c r="O21" s="29"/>
      <c r="P21" s="26"/>
    </row>
    <row r="22" spans="2:16" ht="18" customHeight="1" x14ac:dyDescent="0.25">
      <c r="B22" s="20"/>
      <c r="C22" s="21"/>
      <c r="D22" s="21"/>
      <c r="E22" s="21"/>
      <c r="F22" s="21"/>
      <c r="G22" s="22"/>
      <c r="H22" s="23"/>
      <c r="I22" s="23"/>
      <c r="J22" s="23"/>
      <c r="K22" s="24"/>
      <c r="L22" s="24"/>
      <c r="M22" s="24"/>
      <c r="N22" s="25"/>
      <c r="O22" s="25"/>
      <c r="P22" s="26"/>
    </row>
    <row r="23" spans="2:16" ht="18" customHeight="1" x14ac:dyDescent="0.25">
      <c r="B23" s="20"/>
      <c r="C23" s="27"/>
      <c r="D23" s="27"/>
      <c r="E23" s="27"/>
      <c r="F23" s="27"/>
      <c r="G23" s="28"/>
      <c r="H23" s="23"/>
      <c r="I23" s="23"/>
      <c r="J23" s="23"/>
      <c r="K23" s="24"/>
      <c r="L23" s="24"/>
      <c r="M23" s="24"/>
      <c r="N23" s="29"/>
      <c r="O23" s="29"/>
      <c r="P23" s="26"/>
    </row>
    <row r="24" spans="2:16" ht="18" customHeight="1" x14ac:dyDescent="0.25">
      <c r="B24" s="20"/>
      <c r="C24" s="21"/>
      <c r="D24" s="21"/>
      <c r="E24" s="21"/>
      <c r="F24" s="21"/>
      <c r="G24" s="22"/>
      <c r="H24" s="23"/>
      <c r="I24" s="23"/>
      <c r="J24" s="23"/>
      <c r="K24" s="24"/>
      <c r="L24" s="24"/>
      <c r="M24" s="24"/>
      <c r="N24" s="25"/>
      <c r="O24" s="25"/>
      <c r="P24" s="26"/>
    </row>
    <row r="25" spans="2:16" ht="18" customHeight="1" x14ac:dyDescent="0.25">
      <c r="B25" s="20"/>
      <c r="C25" s="27"/>
      <c r="D25" s="27"/>
      <c r="E25" s="27"/>
      <c r="F25" s="27"/>
      <c r="G25" s="28"/>
      <c r="H25" s="23"/>
      <c r="I25" s="23"/>
      <c r="J25" s="23"/>
      <c r="K25" s="24"/>
      <c r="L25" s="24"/>
      <c r="M25" s="24"/>
      <c r="N25" s="29"/>
      <c r="O25" s="29"/>
      <c r="P25" s="26"/>
    </row>
    <row r="26" spans="2:16" ht="18" customHeight="1" x14ac:dyDescent="0.25">
      <c r="B26" s="20"/>
      <c r="C26" s="21"/>
      <c r="D26" s="21"/>
      <c r="E26" s="21"/>
      <c r="F26" s="21"/>
      <c r="G26" s="22"/>
      <c r="H26" s="23"/>
      <c r="I26" s="23"/>
      <c r="J26" s="23"/>
      <c r="K26" s="24"/>
      <c r="L26" s="24"/>
      <c r="M26" s="24"/>
      <c r="N26" s="25"/>
      <c r="O26" s="25"/>
      <c r="P26" s="26"/>
    </row>
    <row r="27" spans="2:16" ht="18" customHeight="1" x14ac:dyDescent="0.25">
      <c r="B27" s="20"/>
      <c r="C27" s="27"/>
      <c r="D27" s="27"/>
      <c r="E27" s="27"/>
      <c r="F27" s="27"/>
      <c r="G27" s="28"/>
      <c r="H27" s="23"/>
      <c r="I27" s="23"/>
      <c r="J27" s="23"/>
      <c r="K27" s="24"/>
      <c r="L27" s="24"/>
      <c r="M27" s="24"/>
      <c r="N27" s="29"/>
      <c r="O27" s="29"/>
      <c r="P27" s="26"/>
    </row>
    <row r="28" spans="2:16" ht="18" customHeight="1" x14ac:dyDescent="0.25">
      <c r="B28" s="20"/>
      <c r="C28" s="21"/>
      <c r="D28" s="21"/>
      <c r="E28" s="21"/>
      <c r="F28" s="21"/>
      <c r="G28" s="22"/>
      <c r="H28" s="23"/>
      <c r="I28" s="23"/>
      <c r="J28" s="23"/>
      <c r="K28" s="24"/>
      <c r="L28" s="24"/>
      <c r="M28" s="24"/>
      <c r="N28" s="25"/>
      <c r="O28" s="25"/>
      <c r="P28" s="26"/>
    </row>
    <row r="29" spans="2:16" ht="18" customHeight="1" x14ac:dyDescent="0.25">
      <c r="B29" s="20"/>
      <c r="C29" s="27"/>
      <c r="D29" s="27"/>
      <c r="E29" s="27"/>
      <c r="F29" s="27"/>
      <c r="G29" s="28"/>
      <c r="H29" s="23"/>
      <c r="I29" s="23"/>
      <c r="J29" s="23"/>
      <c r="K29" s="24"/>
      <c r="L29" s="24"/>
      <c r="M29" s="24"/>
      <c r="N29" s="29"/>
      <c r="O29" s="29"/>
      <c r="P29" s="26"/>
    </row>
    <row r="30" spans="2:16" ht="18" customHeight="1" x14ac:dyDescent="0.25">
      <c r="B30" s="20"/>
      <c r="C30" s="21"/>
      <c r="D30" s="21"/>
      <c r="E30" s="21"/>
      <c r="F30" s="21"/>
      <c r="G30" s="22"/>
      <c r="H30" s="23"/>
      <c r="I30" s="23"/>
      <c r="J30" s="23"/>
      <c r="K30" s="24"/>
      <c r="L30" s="24"/>
      <c r="M30" s="24"/>
      <c r="N30" s="25"/>
      <c r="O30" s="25"/>
      <c r="P30" s="26"/>
    </row>
    <row r="31" spans="2:16" ht="18" customHeight="1" x14ac:dyDescent="0.25">
      <c r="B31" s="20"/>
      <c r="C31" s="27"/>
      <c r="D31" s="27"/>
      <c r="E31" s="27"/>
      <c r="F31" s="27"/>
      <c r="G31" s="28"/>
      <c r="H31" s="23"/>
      <c r="I31" s="23"/>
      <c r="J31" s="23"/>
      <c r="K31" s="24"/>
      <c r="L31" s="24"/>
      <c r="M31" s="24"/>
      <c r="N31" s="29"/>
      <c r="O31" s="29"/>
      <c r="P31" s="26"/>
    </row>
    <row r="32" spans="2:16" ht="18" customHeight="1" x14ac:dyDescent="0.25">
      <c r="B32" s="20"/>
      <c r="C32" s="21"/>
      <c r="D32" s="21"/>
      <c r="E32" s="21"/>
      <c r="F32" s="21"/>
      <c r="G32" s="22"/>
      <c r="H32" s="23"/>
      <c r="I32" s="23"/>
      <c r="J32" s="23"/>
      <c r="K32" s="24"/>
      <c r="L32" s="24"/>
      <c r="M32" s="24"/>
      <c r="N32" s="25"/>
      <c r="O32" s="25"/>
      <c r="P32" s="26"/>
    </row>
    <row r="33" spans="2:16" ht="18" customHeight="1" x14ac:dyDescent="0.25">
      <c r="B33" s="20"/>
      <c r="C33" s="27"/>
      <c r="D33" s="27"/>
      <c r="E33" s="27"/>
      <c r="F33" s="27"/>
      <c r="G33" s="28"/>
      <c r="H33" s="23"/>
      <c r="I33" s="23"/>
      <c r="J33" s="23"/>
      <c r="K33" s="24"/>
      <c r="L33" s="24"/>
      <c r="M33" s="24"/>
      <c r="N33" s="29"/>
      <c r="O33" s="29"/>
      <c r="P33" s="26"/>
    </row>
    <row r="34" spans="2:16" ht="18" customHeight="1" x14ac:dyDescent="0.25">
      <c r="B34" s="20"/>
      <c r="C34" s="21"/>
      <c r="D34" s="21"/>
      <c r="E34" s="21"/>
      <c r="F34" s="21"/>
      <c r="G34" s="22"/>
      <c r="H34" s="23"/>
      <c r="I34" s="23"/>
      <c r="J34" s="23"/>
      <c r="K34" s="24"/>
      <c r="L34" s="24"/>
      <c r="M34" s="24"/>
      <c r="N34" s="25"/>
      <c r="O34" s="25"/>
      <c r="P34" s="26"/>
    </row>
    <row r="35" spans="2:16" ht="18" customHeight="1" x14ac:dyDescent="0.25">
      <c r="B35" s="20"/>
      <c r="C35" s="27"/>
      <c r="D35" s="27"/>
      <c r="E35" s="27"/>
      <c r="F35" s="27"/>
      <c r="G35" s="28"/>
      <c r="H35" s="23"/>
      <c r="I35" s="23"/>
      <c r="J35" s="23"/>
      <c r="K35" s="24"/>
      <c r="L35" s="24"/>
      <c r="M35" s="24"/>
      <c r="N35" s="29"/>
      <c r="O35" s="29"/>
      <c r="P35" s="26"/>
    </row>
    <row r="36" spans="2:16" ht="18" customHeight="1" x14ac:dyDescent="0.25">
      <c r="B36" s="20"/>
      <c r="C36" s="21"/>
      <c r="D36" s="21"/>
      <c r="E36" s="21"/>
      <c r="F36" s="21"/>
      <c r="G36" s="22"/>
      <c r="H36" s="23"/>
      <c r="I36" s="23"/>
      <c r="J36" s="23"/>
      <c r="K36" s="24"/>
      <c r="L36" s="24"/>
      <c r="M36" s="24"/>
      <c r="N36" s="25"/>
      <c r="O36" s="25"/>
      <c r="P36" s="26"/>
    </row>
    <row r="37" spans="2:16" ht="18" customHeight="1" x14ac:dyDescent="0.25">
      <c r="B37" s="20"/>
      <c r="C37" s="27"/>
      <c r="D37" s="27"/>
      <c r="E37" s="27"/>
      <c r="F37" s="27"/>
      <c r="G37" s="28"/>
      <c r="H37" s="23"/>
      <c r="I37" s="23"/>
      <c r="J37" s="23"/>
      <c r="K37" s="24"/>
      <c r="L37" s="24"/>
      <c r="M37" s="24"/>
      <c r="N37" s="29"/>
      <c r="O37" s="29"/>
      <c r="P37" s="26"/>
    </row>
    <row r="38" spans="2:16" ht="18" customHeight="1" x14ac:dyDescent="0.25">
      <c r="B38" s="20"/>
      <c r="C38" s="21"/>
      <c r="D38" s="21"/>
      <c r="E38" s="21"/>
      <c r="F38" s="21"/>
      <c r="G38" s="22"/>
      <c r="H38" s="23"/>
      <c r="I38" s="23"/>
      <c r="J38" s="23"/>
      <c r="K38" s="24"/>
      <c r="L38" s="24"/>
      <c r="M38" s="24"/>
      <c r="N38" s="25"/>
      <c r="O38" s="25"/>
      <c r="P38" s="26"/>
    </row>
    <row r="39" spans="2:16" ht="18" customHeight="1" x14ac:dyDescent="0.25">
      <c r="B39" s="20"/>
      <c r="C39" s="27"/>
      <c r="D39" s="27"/>
      <c r="E39" s="27"/>
      <c r="F39" s="27"/>
      <c r="G39" s="28"/>
      <c r="H39" s="23"/>
      <c r="I39" s="23"/>
      <c r="J39" s="23"/>
      <c r="K39" s="24"/>
      <c r="L39" s="24"/>
      <c r="M39" s="24"/>
      <c r="N39" s="29"/>
      <c r="O39" s="29"/>
      <c r="P39" s="26"/>
    </row>
    <row r="40" spans="2:16" ht="18" customHeight="1" x14ac:dyDescent="0.25">
      <c r="B40" s="20"/>
      <c r="C40" s="21"/>
      <c r="D40" s="21"/>
      <c r="E40" s="21"/>
      <c r="F40" s="21"/>
      <c r="G40" s="22"/>
      <c r="H40" s="23"/>
      <c r="I40" s="23"/>
      <c r="J40" s="23"/>
      <c r="K40" s="24"/>
      <c r="L40" s="24"/>
      <c r="M40" s="24"/>
      <c r="N40" s="25"/>
      <c r="O40" s="25"/>
      <c r="P40" s="26"/>
    </row>
    <row r="41" spans="2:16" ht="18" customHeight="1" x14ac:dyDescent="0.25">
      <c r="B41" s="20"/>
      <c r="C41" s="27"/>
      <c r="D41" s="27"/>
      <c r="E41" s="27"/>
      <c r="F41" s="27"/>
      <c r="G41" s="28"/>
      <c r="H41" s="23"/>
      <c r="I41" s="23"/>
      <c r="J41" s="23"/>
      <c r="K41" s="24"/>
      <c r="L41" s="24"/>
      <c r="M41" s="24"/>
      <c r="N41" s="29"/>
      <c r="O41" s="29"/>
      <c r="P41" s="26"/>
    </row>
    <row r="42" spans="2:16" ht="18" customHeight="1" x14ac:dyDescent="0.25">
      <c r="B42" s="20"/>
      <c r="C42" s="21"/>
      <c r="D42" s="21"/>
      <c r="E42" s="21"/>
      <c r="F42" s="21"/>
      <c r="G42" s="22"/>
      <c r="H42" s="23"/>
      <c r="I42" s="23"/>
      <c r="J42" s="23"/>
      <c r="K42" s="24"/>
      <c r="L42" s="24"/>
      <c r="M42" s="24"/>
      <c r="N42" s="25"/>
      <c r="O42" s="25"/>
      <c r="P42" s="26"/>
    </row>
    <row r="43" spans="2:16" ht="18" customHeight="1" x14ac:dyDescent="0.25">
      <c r="B43" s="20"/>
      <c r="C43" s="27"/>
      <c r="D43" s="27"/>
      <c r="E43" s="27"/>
      <c r="F43" s="27"/>
      <c r="G43" s="28"/>
      <c r="H43" s="23"/>
      <c r="I43" s="23"/>
      <c r="J43" s="23"/>
      <c r="K43" s="24"/>
      <c r="L43" s="24"/>
      <c r="M43" s="24"/>
      <c r="N43" s="29"/>
      <c r="O43" s="29"/>
      <c r="P43" s="26"/>
    </row>
    <row r="44" spans="2:16" ht="18" customHeight="1" x14ac:dyDescent="0.25">
      <c r="B44" s="20"/>
      <c r="C44" s="21"/>
      <c r="D44" s="21"/>
      <c r="E44" s="21"/>
      <c r="F44" s="21"/>
      <c r="G44" s="22"/>
      <c r="H44" s="23"/>
      <c r="I44" s="23"/>
      <c r="J44" s="23"/>
      <c r="K44" s="24"/>
      <c r="L44" s="24"/>
      <c r="M44" s="24"/>
      <c r="N44" s="25"/>
      <c r="O44" s="25"/>
      <c r="P44" s="26"/>
    </row>
    <row r="45" spans="2:16" ht="18" customHeight="1" x14ac:dyDescent="0.25">
      <c r="B45" s="20"/>
      <c r="C45" s="27"/>
      <c r="D45" s="27"/>
      <c r="E45" s="27"/>
      <c r="F45" s="27"/>
      <c r="G45" s="28"/>
      <c r="H45" s="23"/>
      <c r="I45" s="23"/>
      <c r="J45" s="23"/>
      <c r="K45" s="24"/>
      <c r="L45" s="24"/>
      <c r="M45" s="24"/>
      <c r="N45" s="29"/>
      <c r="O45" s="29"/>
      <c r="P45" s="26"/>
    </row>
    <row r="46" spans="2:16" ht="18" customHeight="1" x14ac:dyDescent="0.25">
      <c r="B46" s="20"/>
      <c r="C46" s="21"/>
      <c r="D46" s="21"/>
      <c r="E46" s="21"/>
      <c r="F46" s="21"/>
      <c r="G46" s="22"/>
      <c r="H46" s="23"/>
      <c r="I46" s="23"/>
      <c r="J46" s="23"/>
      <c r="K46" s="24"/>
      <c r="L46" s="24"/>
      <c r="M46" s="24"/>
      <c r="N46" s="25"/>
      <c r="O46" s="25"/>
      <c r="P46" s="26"/>
    </row>
    <row r="47" spans="2:16" ht="18" customHeight="1" x14ac:dyDescent="0.25">
      <c r="B47" s="20"/>
      <c r="C47" s="27"/>
      <c r="D47" s="27"/>
      <c r="E47" s="27"/>
      <c r="F47" s="27"/>
      <c r="G47" s="28"/>
      <c r="H47" s="23"/>
      <c r="I47" s="23"/>
      <c r="J47" s="23"/>
      <c r="K47" s="24"/>
      <c r="L47" s="24"/>
      <c r="M47" s="24"/>
      <c r="N47" s="29"/>
      <c r="O47" s="29"/>
      <c r="P47" s="26"/>
    </row>
    <row r="48" spans="2:16" ht="18" customHeight="1" x14ac:dyDescent="0.25">
      <c r="B48" s="20"/>
      <c r="C48" s="21"/>
      <c r="D48" s="21"/>
      <c r="E48" s="21"/>
      <c r="F48" s="21"/>
      <c r="G48" s="22"/>
      <c r="H48" s="23"/>
      <c r="I48" s="23"/>
      <c r="J48" s="23"/>
      <c r="K48" s="24"/>
      <c r="L48" s="24"/>
      <c r="M48" s="24"/>
      <c r="N48" s="25"/>
      <c r="O48" s="25"/>
      <c r="P48" s="26"/>
    </row>
    <row r="49" spans="2:16" ht="18" customHeight="1" x14ac:dyDescent="0.25">
      <c r="B49" s="20"/>
      <c r="C49" s="27"/>
      <c r="D49" s="27"/>
      <c r="E49" s="27"/>
      <c r="F49" s="27"/>
      <c r="G49" s="28"/>
      <c r="H49" s="23"/>
      <c r="I49" s="23"/>
      <c r="J49" s="23"/>
      <c r="K49" s="24"/>
      <c r="L49" s="24"/>
      <c r="M49" s="24"/>
      <c r="N49" s="29"/>
      <c r="O49" s="29"/>
      <c r="P49" s="26"/>
    </row>
    <row r="50" spans="2:16" ht="18" customHeight="1" x14ac:dyDescent="0.25">
      <c r="B50" s="20"/>
      <c r="C50" s="21"/>
      <c r="D50" s="21"/>
      <c r="E50" s="21"/>
      <c r="F50" s="21"/>
      <c r="G50" s="22"/>
      <c r="H50" s="23"/>
      <c r="I50" s="23"/>
      <c r="J50" s="23"/>
      <c r="K50" s="24"/>
      <c r="L50" s="24"/>
      <c r="M50" s="24"/>
      <c r="N50" s="25"/>
      <c r="O50" s="25"/>
      <c r="P50" s="26"/>
    </row>
    <row r="51" spans="2:16" ht="18" customHeight="1" x14ac:dyDescent="0.25">
      <c r="B51" s="20"/>
      <c r="C51" s="27"/>
      <c r="D51" s="27"/>
      <c r="E51" s="27"/>
      <c r="F51" s="27"/>
      <c r="G51" s="28"/>
      <c r="H51" s="23"/>
      <c r="I51" s="23"/>
      <c r="J51" s="23"/>
      <c r="K51" s="24"/>
      <c r="L51" s="24"/>
      <c r="M51" s="24"/>
      <c r="N51" s="29"/>
      <c r="O51" s="29"/>
      <c r="P51" s="26"/>
    </row>
    <row r="52" spans="2:16" ht="18" customHeight="1" x14ac:dyDescent="0.25">
      <c r="B52" s="20"/>
      <c r="C52" s="21"/>
      <c r="D52" s="21"/>
      <c r="E52" s="21"/>
      <c r="F52" s="21"/>
      <c r="G52" s="22"/>
      <c r="H52" s="23"/>
      <c r="I52" s="23"/>
      <c r="J52" s="23"/>
      <c r="K52" s="24"/>
      <c r="L52" s="24"/>
      <c r="M52" s="24"/>
      <c r="N52" s="25"/>
      <c r="O52" s="25"/>
      <c r="P52" s="26"/>
    </row>
    <row r="53" spans="2:16" ht="18" customHeight="1" x14ac:dyDescent="0.25">
      <c r="B53" s="20"/>
      <c r="C53" s="27"/>
      <c r="D53" s="27"/>
      <c r="E53" s="27"/>
      <c r="F53" s="27"/>
      <c r="G53" s="28"/>
      <c r="H53" s="23"/>
      <c r="I53" s="23"/>
      <c r="J53" s="23"/>
      <c r="K53" s="24"/>
      <c r="L53" s="24"/>
      <c r="M53" s="24"/>
      <c r="N53" s="29"/>
      <c r="O53" s="29"/>
      <c r="P53" s="26"/>
    </row>
    <row r="54" spans="2:16" ht="18" customHeight="1" x14ac:dyDescent="0.25">
      <c r="B54" s="20"/>
      <c r="C54" s="21"/>
      <c r="D54" s="21"/>
      <c r="E54" s="21"/>
      <c r="F54" s="21"/>
      <c r="G54" s="22"/>
      <c r="H54" s="23"/>
      <c r="I54" s="23"/>
      <c r="J54" s="23"/>
      <c r="K54" s="24"/>
      <c r="L54" s="24"/>
      <c r="M54" s="24"/>
      <c r="N54" s="25"/>
      <c r="O54" s="25"/>
      <c r="P54" s="26"/>
    </row>
    <row r="55" spans="2:16" ht="18" customHeight="1" x14ac:dyDescent="0.25">
      <c r="B55" s="20"/>
      <c r="C55" s="27"/>
      <c r="D55" s="27"/>
      <c r="E55" s="27"/>
      <c r="F55" s="27"/>
      <c r="G55" s="28"/>
      <c r="H55" s="23"/>
      <c r="I55" s="23"/>
      <c r="J55" s="23"/>
      <c r="K55" s="24"/>
      <c r="L55" s="24"/>
      <c r="M55" s="24"/>
      <c r="N55" s="29"/>
      <c r="O55" s="29"/>
      <c r="P55" s="26"/>
    </row>
    <row r="56" spans="2:16" ht="18" customHeight="1" x14ac:dyDescent="0.25">
      <c r="B56" s="20"/>
      <c r="C56" s="21"/>
      <c r="D56" s="21"/>
      <c r="E56" s="21"/>
      <c r="F56" s="21"/>
      <c r="G56" s="22"/>
      <c r="H56" s="23"/>
      <c r="I56" s="23"/>
      <c r="J56" s="23"/>
      <c r="K56" s="24"/>
      <c r="L56" s="24"/>
      <c r="M56" s="24"/>
      <c r="N56" s="25"/>
      <c r="O56" s="25"/>
      <c r="P56" s="26"/>
    </row>
    <row r="57" spans="2:16" ht="18" customHeight="1" x14ac:dyDescent="0.25">
      <c r="B57" s="20"/>
      <c r="C57" s="27"/>
      <c r="D57" s="27"/>
      <c r="E57" s="27"/>
      <c r="F57" s="27"/>
      <c r="G57" s="28"/>
      <c r="H57" s="23"/>
      <c r="I57" s="23"/>
      <c r="J57" s="23"/>
      <c r="K57" s="24"/>
      <c r="L57" s="24"/>
      <c r="M57" s="24"/>
      <c r="N57" s="29"/>
      <c r="O57" s="29"/>
      <c r="P57" s="26"/>
    </row>
    <row r="58" spans="2:16" ht="18" customHeight="1" x14ac:dyDescent="0.25">
      <c r="B58" s="20"/>
      <c r="C58" s="21"/>
      <c r="D58" s="21"/>
      <c r="E58" s="21"/>
      <c r="F58" s="21"/>
      <c r="G58" s="22"/>
      <c r="H58" s="23"/>
      <c r="I58" s="23"/>
      <c r="J58" s="23"/>
      <c r="K58" s="24"/>
      <c r="L58" s="24"/>
      <c r="M58" s="24"/>
      <c r="N58" s="25"/>
      <c r="O58" s="25"/>
      <c r="P58" s="26"/>
    </row>
    <row r="59" spans="2:16" ht="18" customHeight="1" x14ac:dyDescent="0.25">
      <c r="B59" s="20"/>
      <c r="C59" s="27"/>
      <c r="D59" s="27"/>
      <c r="E59" s="27"/>
      <c r="F59" s="27"/>
      <c r="G59" s="28"/>
      <c r="H59" s="23"/>
      <c r="I59" s="23"/>
      <c r="J59" s="23"/>
      <c r="K59" s="24"/>
      <c r="L59" s="24"/>
      <c r="M59" s="24"/>
      <c r="N59" s="29"/>
      <c r="O59" s="29"/>
      <c r="P59" s="26"/>
    </row>
    <row r="60" spans="2:16" ht="17.25" x14ac:dyDescent="0.25">
      <c r="B60" s="30" t="s">
        <v>85</v>
      </c>
      <c r="C60" s="93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31" t="e">
        <f ca="1">СУММ(P4:P59)</f>
        <v>#NAME?</v>
      </c>
    </row>
  </sheetData>
  <mergeCells count="8">
    <mergeCell ref="C60:O60"/>
    <mergeCell ref="L2:M2"/>
    <mergeCell ref="N2:P2"/>
    <mergeCell ref="C2:G2"/>
    <mergeCell ref="B1:P1"/>
    <mergeCell ref="B2:B3"/>
    <mergeCell ref="H2:J2"/>
    <mergeCell ref="K2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1D7A4A"/>
  </sheetPr>
  <dimension ref="B1:H39"/>
  <sheetViews>
    <sheetView workbookViewId="0">
      <selection activeCell="E8" sqref="E8"/>
    </sheetView>
  </sheetViews>
  <sheetFormatPr defaultRowHeight="15" x14ac:dyDescent="0.25"/>
  <cols>
    <col min="1" max="1" width="2" customWidth="1"/>
    <col min="2" max="2" width="20" customWidth="1"/>
    <col min="3" max="8" width="12" customWidth="1"/>
    <col min="9" max="9" width="2" customWidth="1"/>
  </cols>
  <sheetData>
    <row r="1" spans="2:8" ht="27.95" customHeight="1" x14ac:dyDescent="0.25">
      <c r="B1" s="90" t="s">
        <v>86</v>
      </c>
      <c r="C1" s="72"/>
      <c r="D1" s="72"/>
      <c r="E1" s="72"/>
      <c r="F1" s="72"/>
      <c r="G1" s="72"/>
      <c r="H1" s="72"/>
    </row>
    <row r="3" spans="2:8" x14ac:dyDescent="0.25">
      <c r="B3" s="77" t="s">
        <v>87</v>
      </c>
      <c r="C3" s="72"/>
      <c r="D3" s="72"/>
      <c r="E3" s="72"/>
      <c r="F3" s="72"/>
      <c r="G3" s="72"/>
      <c r="H3" s="72"/>
    </row>
    <row r="4" spans="2:8" x14ac:dyDescent="0.25">
      <c r="B4" s="1" t="s">
        <v>88</v>
      </c>
      <c r="C4" s="32">
        <v>317.2</v>
      </c>
      <c r="D4" s="18" t="s">
        <v>89</v>
      </c>
      <c r="E4" s="18" t="s">
        <v>90</v>
      </c>
      <c r="F4" s="18" t="s">
        <v>91</v>
      </c>
      <c r="G4" s="18" t="s">
        <v>92</v>
      </c>
      <c r="H4" s="18" t="s">
        <v>93</v>
      </c>
    </row>
    <row r="5" spans="2:8" x14ac:dyDescent="0.25">
      <c r="B5" s="1" t="s">
        <v>94</v>
      </c>
      <c r="C5" s="32">
        <v>8.8999999999999996E-2</v>
      </c>
      <c r="D5" s="1" t="s">
        <v>95</v>
      </c>
      <c r="E5" s="33">
        <v>305</v>
      </c>
      <c r="F5" s="34" t="s">
        <v>96</v>
      </c>
      <c r="G5" s="35"/>
      <c r="H5" s="36" t="s">
        <v>97</v>
      </c>
    </row>
    <row r="6" spans="2:8" x14ac:dyDescent="0.25">
      <c r="B6" s="1" t="s">
        <v>98</v>
      </c>
      <c r="C6" s="32">
        <v>0.16</v>
      </c>
      <c r="D6" s="1" t="s">
        <v>99</v>
      </c>
      <c r="E6" s="33">
        <v>315</v>
      </c>
      <c r="F6" s="34" t="s">
        <v>96</v>
      </c>
      <c r="G6" s="35"/>
      <c r="H6" s="37" t="s">
        <v>100</v>
      </c>
    </row>
    <row r="7" spans="2:8" x14ac:dyDescent="0.25">
      <c r="B7" s="1" t="s">
        <v>101</v>
      </c>
      <c r="C7" s="38">
        <v>27</v>
      </c>
      <c r="D7" s="1" t="s">
        <v>102</v>
      </c>
      <c r="E7" s="33">
        <v>320</v>
      </c>
      <c r="F7" s="34" t="s">
        <v>103</v>
      </c>
      <c r="G7" s="35"/>
      <c r="H7" s="36" t="s">
        <v>97</v>
      </c>
    </row>
    <row r="8" spans="2:8" x14ac:dyDescent="0.25">
      <c r="B8" s="1" t="s">
        <v>104</v>
      </c>
      <c r="C8" s="32">
        <f>C7/365</f>
        <v>7.3972602739726029E-2</v>
      </c>
      <c r="D8" s="1" t="s">
        <v>105</v>
      </c>
      <c r="E8" s="33">
        <v>330</v>
      </c>
      <c r="F8" s="34" t="s">
        <v>103</v>
      </c>
      <c r="G8" s="35"/>
      <c r="H8" s="37" t="s">
        <v>100</v>
      </c>
    </row>
    <row r="9" spans="2:8" ht="38.25" x14ac:dyDescent="0.25">
      <c r="D9" s="39" t="s">
        <v>106</v>
      </c>
      <c r="E9" s="93"/>
      <c r="F9" s="72"/>
      <c r="G9" s="40">
        <f>G5+G7-G6-G8</f>
        <v>0</v>
      </c>
      <c r="H9" s="41" t="s">
        <v>107</v>
      </c>
    </row>
    <row r="11" spans="2:8" x14ac:dyDescent="0.25">
      <c r="B11" s="77" t="s">
        <v>108</v>
      </c>
      <c r="C11" s="72"/>
      <c r="D11" s="72"/>
      <c r="E11" s="72"/>
      <c r="F11" s="72"/>
      <c r="G11" s="72"/>
      <c r="H11" s="72"/>
    </row>
    <row r="12" spans="2:8" ht="25.5" x14ac:dyDescent="0.25">
      <c r="B12" s="18" t="s">
        <v>109</v>
      </c>
      <c r="C12" s="18" t="s">
        <v>110</v>
      </c>
      <c r="D12" s="18" t="s">
        <v>111</v>
      </c>
      <c r="E12" s="18" t="s">
        <v>112</v>
      </c>
    </row>
    <row r="13" spans="2:8" x14ac:dyDescent="0.25">
      <c r="B13" s="21">
        <v>285</v>
      </c>
      <c r="C13" s="42"/>
      <c r="D13" s="42">
        <f t="shared" ref="D13:D39" si="0">(B13-$C$4)*1000</f>
        <v>-32199.999999999989</v>
      </c>
      <c r="E13" s="26">
        <f t="shared" ref="E13:E39" si="1">C13+D13</f>
        <v>-32199.999999999989</v>
      </c>
    </row>
    <row r="14" spans="2:8" x14ac:dyDescent="0.25">
      <c r="B14" s="27">
        <v>287.5</v>
      </c>
      <c r="C14" s="42"/>
      <c r="D14" s="42">
        <f t="shared" si="0"/>
        <v>-29699.999999999989</v>
      </c>
      <c r="E14" s="26">
        <f t="shared" si="1"/>
        <v>-29699.999999999989</v>
      </c>
    </row>
    <row r="15" spans="2:8" x14ac:dyDescent="0.25">
      <c r="B15" s="21">
        <v>290</v>
      </c>
      <c r="C15" s="42"/>
      <c r="D15" s="42">
        <f t="shared" si="0"/>
        <v>-27199.999999999989</v>
      </c>
      <c r="E15" s="26">
        <f t="shared" si="1"/>
        <v>-27199.999999999989</v>
      </c>
    </row>
    <row r="16" spans="2:8" x14ac:dyDescent="0.25">
      <c r="B16" s="27">
        <v>292.5</v>
      </c>
      <c r="C16" s="42"/>
      <c r="D16" s="42">
        <f t="shared" si="0"/>
        <v>-24699.999999999989</v>
      </c>
      <c r="E16" s="26">
        <f t="shared" si="1"/>
        <v>-24699.999999999989</v>
      </c>
    </row>
    <row r="17" spans="2:5" x14ac:dyDescent="0.25">
      <c r="B17" s="21">
        <v>295</v>
      </c>
      <c r="C17" s="42"/>
      <c r="D17" s="42">
        <f t="shared" si="0"/>
        <v>-22199.999999999989</v>
      </c>
      <c r="E17" s="26">
        <f t="shared" si="1"/>
        <v>-22199.999999999989</v>
      </c>
    </row>
    <row r="18" spans="2:5" x14ac:dyDescent="0.25">
      <c r="B18" s="27">
        <v>297.5</v>
      </c>
      <c r="C18" s="42"/>
      <c r="D18" s="42">
        <f t="shared" si="0"/>
        <v>-19699.999999999989</v>
      </c>
      <c r="E18" s="26">
        <f t="shared" si="1"/>
        <v>-19699.999999999989</v>
      </c>
    </row>
    <row r="19" spans="2:5" x14ac:dyDescent="0.25">
      <c r="B19" s="21">
        <v>300</v>
      </c>
      <c r="C19" s="42"/>
      <c r="D19" s="42">
        <f t="shared" si="0"/>
        <v>-17199.999999999989</v>
      </c>
      <c r="E19" s="26">
        <f t="shared" si="1"/>
        <v>-17199.999999999989</v>
      </c>
    </row>
    <row r="20" spans="2:5" x14ac:dyDescent="0.25">
      <c r="B20" s="27">
        <v>302.5</v>
      </c>
      <c r="C20" s="42"/>
      <c r="D20" s="42">
        <f t="shared" si="0"/>
        <v>-14699.999999999989</v>
      </c>
      <c r="E20" s="26">
        <f t="shared" si="1"/>
        <v>-14699.999999999989</v>
      </c>
    </row>
    <row r="21" spans="2:5" x14ac:dyDescent="0.25">
      <c r="B21" s="21">
        <v>305</v>
      </c>
      <c r="C21" s="42"/>
      <c r="D21" s="42">
        <f t="shared" si="0"/>
        <v>-12199.999999999989</v>
      </c>
      <c r="E21" s="26">
        <f t="shared" si="1"/>
        <v>-12199.999999999989</v>
      </c>
    </row>
    <row r="22" spans="2:5" x14ac:dyDescent="0.25">
      <c r="B22" s="27">
        <v>307.5</v>
      </c>
      <c r="C22" s="42"/>
      <c r="D22" s="42">
        <f t="shared" si="0"/>
        <v>-9699.9999999999891</v>
      </c>
      <c r="E22" s="26">
        <f t="shared" si="1"/>
        <v>-9699.9999999999891</v>
      </c>
    </row>
    <row r="23" spans="2:5" x14ac:dyDescent="0.25">
      <c r="B23" s="21">
        <v>310</v>
      </c>
      <c r="C23" s="42"/>
      <c r="D23" s="42">
        <f t="shared" si="0"/>
        <v>-7199.9999999999891</v>
      </c>
      <c r="E23" s="26">
        <f t="shared" si="1"/>
        <v>-7199.9999999999891</v>
      </c>
    </row>
    <row r="24" spans="2:5" x14ac:dyDescent="0.25">
      <c r="B24" s="27">
        <v>312.5</v>
      </c>
      <c r="C24" s="42"/>
      <c r="D24" s="42">
        <f t="shared" si="0"/>
        <v>-4699.9999999999891</v>
      </c>
      <c r="E24" s="26">
        <f t="shared" si="1"/>
        <v>-4699.9999999999891</v>
      </c>
    </row>
    <row r="25" spans="2:5" x14ac:dyDescent="0.25">
      <c r="B25" s="21">
        <v>315</v>
      </c>
      <c r="C25" s="42"/>
      <c r="D25" s="42">
        <f t="shared" si="0"/>
        <v>-2199.9999999999886</v>
      </c>
      <c r="E25" s="26">
        <f t="shared" si="1"/>
        <v>-2199.9999999999886</v>
      </c>
    </row>
    <row r="26" spans="2:5" x14ac:dyDescent="0.25">
      <c r="B26" s="27">
        <v>317.5</v>
      </c>
      <c r="C26" s="42"/>
      <c r="D26" s="42">
        <f t="shared" si="0"/>
        <v>300.00000000001137</v>
      </c>
      <c r="E26" s="26">
        <f t="shared" si="1"/>
        <v>300.00000000001137</v>
      </c>
    </row>
    <row r="27" spans="2:5" x14ac:dyDescent="0.25">
      <c r="B27" s="21">
        <v>320</v>
      </c>
      <c r="C27" s="42"/>
      <c r="D27" s="42">
        <f t="shared" si="0"/>
        <v>2800.0000000000114</v>
      </c>
      <c r="E27" s="26">
        <f t="shared" si="1"/>
        <v>2800.0000000000114</v>
      </c>
    </row>
    <row r="28" spans="2:5" x14ac:dyDescent="0.25">
      <c r="B28" s="27">
        <v>322.5</v>
      </c>
      <c r="C28" s="42"/>
      <c r="D28" s="42">
        <f t="shared" si="0"/>
        <v>5300.0000000000109</v>
      </c>
      <c r="E28" s="26">
        <f t="shared" si="1"/>
        <v>5300.0000000000109</v>
      </c>
    </row>
    <row r="29" spans="2:5" x14ac:dyDescent="0.25">
      <c r="B29" s="21">
        <v>325</v>
      </c>
      <c r="C29" s="42"/>
      <c r="D29" s="42">
        <f t="shared" si="0"/>
        <v>7800.0000000000109</v>
      </c>
      <c r="E29" s="26">
        <f t="shared" si="1"/>
        <v>7800.0000000000109</v>
      </c>
    </row>
    <row r="30" spans="2:5" x14ac:dyDescent="0.25">
      <c r="B30" s="27">
        <v>327.5</v>
      </c>
      <c r="C30" s="42"/>
      <c r="D30" s="42">
        <f t="shared" si="0"/>
        <v>10300.000000000011</v>
      </c>
      <c r="E30" s="26">
        <f t="shared" si="1"/>
        <v>10300.000000000011</v>
      </c>
    </row>
    <row r="31" spans="2:5" x14ac:dyDescent="0.25">
      <c r="B31" s="21">
        <v>330</v>
      </c>
      <c r="C31" s="42"/>
      <c r="D31" s="42">
        <f t="shared" si="0"/>
        <v>12800.000000000011</v>
      </c>
      <c r="E31" s="26">
        <f t="shared" si="1"/>
        <v>12800.000000000011</v>
      </c>
    </row>
    <row r="32" spans="2:5" x14ac:dyDescent="0.25">
      <c r="B32" s="27">
        <v>332.5</v>
      </c>
      <c r="C32" s="42"/>
      <c r="D32" s="42">
        <f t="shared" si="0"/>
        <v>15300.000000000011</v>
      </c>
      <c r="E32" s="26">
        <f t="shared" si="1"/>
        <v>15300.000000000011</v>
      </c>
    </row>
    <row r="33" spans="2:5" x14ac:dyDescent="0.25">
      <c r="B33" s="21">
        <v>335</v>
      </c>
      <c r="C33" s="42"/>
      <c r="D33" s="42">
        <f t="shared" si="0"/>
        <v>17800.000000000011</v>
      </c>
      <c r="E33" s="26">
        <f t="shared" si="1"/>
        <v>17800.000000000011</v>
      </c>
    </row>
    <row r="34" spans="2:5" x14ac:dyDescent="0.25">
      <c r="B34" s="27">
        <v>337.5</v>
      </c>
      <c r="C34" s="42"/>
      <c r="D34" s="42">
        <f t="shared" si="0"/>
        <v>20300.000000000011</v>
      </c>
      <c r="E34" s="26">
        <f t="shared" si="1"/>
        <v>20300.000000000011</v>
      </c>
    </row>
    <row r="35" spans="2:5" x14ac:dyDescent="0.25">
      <c r="B35" s="21">
        <v>340</v>
      </c>
      <c r="C35" s="42"/>
      <c r="D35" s="42">
        <f t="shared" si="0"/>
        <v>22800.000000000011</v>
      </c>
      <c r="E35" s="26">
        <f t="shared" si="1"/>
        <v>22800.000000000011</v>
      </c>
    </row>
    <row r="36" spans="2:5" x14ac:dyDescent="0.25">
      <c r="B36" s="27">
        <v>342.5</v>
      </c>
      <c r="C36" s="42"/>
      <c r="D36" s="42">
        <f t="shared" si="0"/>
        <v>25300.000000000011</v>
      </c>
      <c r="E36" s="26">
        <f t="shared" si="1"/>
        <v>25300.000000000011</v>
      </c>
    </row>
    <row r="37" spans="2:5" x14ac:dyDescent="0.25">
      <c r="B37" s="21">
        <v>345</v>
      </c>
      <c r="C37" s="42"/>
      <c r="D37" s="42">
        <f t="shared" si="0"/>
        <v>27800.000000000011</v>
      </c>
      <c r="E37" s="26">
        <f t="shared" si="1"/>
        <v>27800.000000000011</v>
      </c>
    </row>
    <row r="38" spans="2:5" x14ac:dyDescent="0.25">
      <c r="B38" s="27">
        <v>347.5</v>
      </c>
      <c r="C38" s="42"/>
      <c r="D38" s="42">
        <f t="shared" si="0"/>
        <v>30300.000000000011</v>
      </c>
      <c r="E38" s="26">
        <f t="shared" si="1"/>
        <v>30300.000000000011</v>
      </c>
    </row>
    <row r="39" spans="2:5" x14ac:dyDescent="0.25">
      <c r="B39" s="21">
        <v>350</v>
      </c>
      <c r="C39" s="42"/>
      <c r="D39" s="42">
        <f t="shared" si="0"/>
        <v>32800.000000000015</v>
      </c>
      <c r="E39" s="26">
        <f t="shared" si="1"/>
        <v>32800.000000000015</v>
      </c>
    </row>
  </sheetData>
  <mergeCells count="4">
    <mergeCell ref="B1:H1"/>
    <mergeCell ref="B3:H3"/>
    <mergeCell ref="E9:F9"/>
    <mergeCell ref="B11:H1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C87520"/>
  </sheetPr>
  <dimension ref="B1:L15"/>
  <sheetViews>
    <sheetView workbookViewId="0">
      <selection activeCell="J15" sqref="J15"/>
    </sheetView>
  </sheetViews>
  <sheetFormatPr defaultRowHeight="15" x14ac:dyDescent="0.25"/>
  <cols>
    <col min="1" max="1" width="2" customWidth="1"/>
    <col min="2" max="2" width="5" customWidth="1"/>
    <col min="3" max="3" width="14" customWidth="1"/>
    <col min="4" max="7" width="10" customWidth="1"/>
    <col min="8" max="9" width="12" customWidth="1"/>
    <col min="10" max="11" width="14" customWidth="1"/>
    <col min="12" max="12" width="10" customWidth="1"/>
    <col min="13" max="13" width="2" customWidth="1"/>
  </cols>
  <sheetData>
    <row r="1" spans="2:12" ht="27.95" customHeight="1" x14ac:dyDescent="0.25">
      <c r="B1" s="90" t="s">
        <v>113</v>
      </c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2:12" ht="24.95" customHeight="1" x14ac:dyDescent="0.25">
      <c r="B2" s="18" t="s">
        <v>114</v>
      </c>
      <c r="C2" s="18" t="s">
        <v>115</v>
      </c>
      <c r="D2" s="18" t="s">
        <v>116</v>
      </c>
      <c r="E2" s="18" t="s">
        <v>117</v>
      </c>
      <c r="F2" s="18" t="s">
        <v>118</v>
      </c>
      <c r="G2" s="18" t="s">
        <v>119</v>
      </c>
      <c r="H2" s="18" t="s">
        <v>120</v>
      </c>
      <c r="I2" s="18" t="s">
        <v>121</v>
      </c>
      <c r="J2" s="18" t="s">
        <v>122</v>
      </c>
      <c r="K2" s="18" t="s">
        <v>84</v>
      </c>
      <c r="L2" s="18" t="s">
        <v>123</v>
      </c>
    </row>
    <row r="3" spans="2:12" ht="18" customHeight="1" x14ac:dyDescent="0.25">
      <c r="B3" s="43">
        <v>1</v>
      </c>
      <c r="C3" s="43" t="s">
        <v>124</v>
      </c>
      <c r="D3" s="43" t="s">
        <v>124</v>
      </c>
      <c r="E3" s="43" t="s">
        <v>125</v>
      </c>
      <c r="F3" s="43">
        <v>5.2</v>
      </c>
      <c r="G3" s="43" t="s">
        <v>126</v>
      </c>
      <c r="H3" s="43" t="s">
        <v>127</v>
      </c>
      <c r="I3" s="44">
        <v>4200</v>
      </c>
      <c r="J3" s="44">
        <v>3100</v>
      </c>
      <c r="K3" s="44">
        <v>7300</v>
      </c>
      <c r="L3" s="45">
        <v>7300</v>
      </c>
    </row>
    <row r="4" spans="2:12" ht="18" customHeight="1" x14ac:dyDescent="0.25">
      <c r="B4" s="46">
        <v>2</v>
      </c>
      <c r="C4" s="46" t="s">
        <v>125</v>
      </c>
      <c r="D4" s="46" t="s">
        <v>125</v>
      </c>
      <c r="E4" s="46" t="s">
        <v>128</v>
      </c>
      <c r="F4" s="46">
        <v>7.8</v>
      </c>
      <c r="G4" s="46" t="s">
        <v>129</v>
      </c>
      <c r="H4" s="46" t="s">
        <v>130</v>
      </c>
      <c r="I4" s="44">
        <v>1800</v>
      </c>
      <c r="J4" s="47">
        <v>0</v>
      </c>
      <c r="K4" s="44">
        <v>1800</v>
      </c>
      <c r="L4" s="45">
        <v>9100</v>
      </c>
    </row>
    <row r="5" spans="2:12" ht="18" customHeight="1" x14ac:dyDescent="0.25">
      <c r="B5" s="43">
        <v>3</v>
      </c>
      <c r="C5" s="43" t="s">
        <v>128</v>
      </c>
      <c r="D5" s="43" t="s">
        <v>128</v>
      </c>
      <c r="E5" s="43" t="s">
        <v>131</v>
      </c>
      <c r="F5" s="43">
        <v>4.9000000000000004</v>
      </c>
      <c r="G5" s="43" t="s">
        <v>126</v>
      </c>
      <c r="H5" s="43" t="s">
        <v>127</v>
      </c>
      <c r="I5" s="44">
        <v>5100</v>
      </c>
      <c r="J5" s="44">
        <v>4200</v>
      </c>
      <c r="K5" s="44">
        <v>9300</v>
      </c>
      <c r="L5" s="45">
        <v>18400</v>
      </c>
    </row>
    <row r="6" spans="2:12" ht="18" customHeight="1" x14ac:dyDescent="0.25">
      <c r="B6" s="46">
        <v>4</v>
      </c>
      <c r="C6" s="46" t="s">
        <v>131</v>
      </c>
      <c r="D6" s="46" t="s">
        <v>131</v>
      </c>
      <c r="E6" s="46" t="s">
        <v>132</v>
      </c>
      <c r="F6" s="46">
        <v>6.3</v>
      </c>
      <c r="G6" s="46" t="s">
        <v>129</v>
      </c>
      <c r="H6" s="46" t="s">
        <v>130</v>
      </c>
      <c r="I6" s="44">
        <v>2200</v>
      </c>
      <c r="J6" s="47">
        <v>0</v>
      </c>
      <c r="K6" s="44">
        <v>2200</v>
      </c>
      <c r="L6" s="45">
        <v>20600</v>
      </c>
    </row>
    <row r="7" spans="2:12" ht="18" customHeight="1" x14ac:dyDescent="0.25">
      <c r="B7" s="43">
        <v>5</v>
      </c>
      <c r="C7" s="43" t="s">
        <v>132</v>
      </c>
      <c r="D7" s="43" t="s">
        <v>132</v>
      </c>
      <c r="E7" s="43" t="s">
        <v>133</v>
      </c>
      <c r="F7" s="43">
        <v>5.0999999999999996</v>
      </c>
      <c r="G7" s="43" t="s">
        <v>126</v>
      </c>
      <c r="H7" s="43" t="s">
        <v>127</v>
      </c>
      <c r="I7" s="44">
        <v>4800</v>
      </c>
      <c r="J7" s="44">
        <v>3800</v>
      </c>
      <c r="K7" s="44">
        <v>8600</v>
      </c>
      <c r="L7" s="45">
        <v>29200</v>
      </c>
    </row>
    <row r="8" spans="2:12" ht="18" customHeight="1" x14ac:dyDescent="0.25">
      <c r="B8" s="46">
        <v>6</v>
      </c>
      <c r="C8" s="46" t="s">
        <v>133</v>
      </c>
      <c r="D8" s="46" t="s">
        <v>133</v>
      </c>
      <c r="E8" s="46" t="s">
        <v>134</v>
      </c>
      <c r="F8" s="46">
        <v>8.1999999999999993</v>
      </c>
      <c r="G8" s="46" t="s">
        <v>135</v>
      </c>
      <c r="H8" s="46" t="s">
        <v>130</v>
      </c>
      <c r="I8" s="48">
        <v>-6476</v>
      </c>
      <c r="J8" s="47">
        <v>0</v>
      </c>
      <c r="K8" s="48">
        <v>-6476</v>
      </c>
      <c r="L8" s="45">
        <v>22724</v>
      </c>
    </row>
    <row r="9" spans="2:12" ht="18" customHeight="1" x14ac:dyDescent="0.25">
      <c r="B9" s="43">
        <v>7</v>
      </c>
      <c r="C9" s="43" t="s">
        <v>134</v>
      </c>
      <c r="D9" s="43" t="s">
        <v>134</v>
      </c>
      <c r="E9" s="43" t="s">
        <v>136</v>
      </c>
      <c r="F9" s="43">
        <v>4.7</v>
      </c>
      <c r="G9" s="43" t="s">
        <v>126</v>
      </c>
      <c r="H9" s="43" t="s">
        <v>127</v>
      </c>
      <c r="I9" s="44">
        <v>5300</v>
      </c>
      <c r="J9" s="44">
        <v>4500</v>
      </c>
      <c r="K9" s="44">
        <v>9800</v>
      </c>
      <c r="L9" s="45">
        <v>32524</v>
      </c>
    </row>
    <row r="10" spans="2:12" ht="18" customHeight="1" x14ac:dyDescent="0.25">
      <c r="B10" s="46">
        <v>8</v>
      </c>
      <c r="C10" s="46" t="s">
        <v>136</v>
      </c>
      <c r="D10" s="46" t="s">
        <v>136</v>
      </c>
      <c r="E10" s="46" t="s">
        <v>137</v>
      </c>
      <c r="F10" s="46">
        <v>5.5</v>
      </c>
      <c r="G10" s="46" t="s">
        <v>126</v>
      </c>
      <c r="H10" s="46" t="s">
        <v>127</v>
      </c>
      <c r="I10" s="44">
        <v>4600</v>
      </c>
      <c r="J10" s="44">
        <v>3900</v>
      </c>
      <c r="K10" s="44">
        <v>8500</v>
      </c>
      <c r="L10" s="45">
        <v>41024</v>
      </c>
    </row>
    <row r="11" spans="2:12" ht="18" customHeight="1" x14ac:dyDescent="0.25">
      <c r="B11" s="43">
        <v>9</v>
      </c>
      <c r="C11" s="43" t="s">
        <v>137</v>
      </c>
      <c r="D11" s="43" t="s">
        <v>137</v>
      </c>
      <c r="E11" s="43" t="s">
        <v>138</v>
      </c>
      <c r="F11" s="43">
        <v>6.9</v>
      </c>
      <c r="G11" s="43" t="s">
        <v>129</v>
      </c>
      <c r="H11" s="43" t="s">
        <v>130</v>
      </c>
      <c r="I11" s="44">
        <v>2800</v>
      </c>
      <c r="J11" s="47">
        <v>0</v>
      </c>
      <c r="K11" s="44">
        <v>2800</v>
      </c>
      <c r="L11" s="45">
        <v>43824</v>
      </c>
    </row>
    <row r="12" spans="2:12" ht="18" customHeight="1" x14ac:dyDescent="0.25">
      <c r="B12" s="46">
        <v>10</v>
      </c>
      <c r="C12" s="46" t="s">
        <v>138</v>
      </c>
      <c r="D12" s="46" t="s">
        <v>138</v>
      </c>
      <c r="E12" s="46" t="s">
        <v>139</v>
      </c>
      <c r="F12" s="46">
        <v>4.8</v>
      </c>
      <c r="G12" s="46" t="s">
        <v>126</v>
      </c>
      <c r="H12" s="46" t="s">
        <v>127</v>
      </c>
      <c r="I12" s="44">
        <v>5000</v>
      </c>
      <c r="J12" s="44">
        <v>4100</v>
      </c>
      <c r="K12" s="44">
        <v>9100</v>
      </c>
      <c r="L12" s="45">
        <v>52924</v>
      </c>
    </row>
    <row r="13" spans="2:12" ht="18" customHeight="1" x14ac:dyDescent="0.25">
      <c r="B13" s="43">
        <v>11</v>
      </c>
      <c r="C13" s="43" t="s">
        <v>139</v>
      </c>
      <c r="D13" s="43" t="s">
        <v>139</v>
      </c>
      <c r="E13" s="43" t="s">
        <v>140</v>
      </c>
      <c r="F13" s="43">
        <v>5</v>
      </c>
      <c r="G13" s="43" t="s">
        <v>126</v>
      </c>
      <c r="H13" s="43" t="s">
        <v>127</v>
      </c>
      <c r="I13" s="44">
        <v>4900</v>
      </c>
      <c r="J13" s="44">
        <v>4100</v>
      </c>
      <c r="K13" s="44">
        <v>9000</v>
      </c>
      <c r="L13" s="45">
        <v>61924</v>
      </c>
    </row>
    <row r="14" spans="2:12" ht="17.25" x14ac:dyDescent="0.25">
      <c r="B14" s="30" t="s">
        <v>141</v>
      </c>
      <c r="C14" s="93"/>
      <c r="D14" s="72"/>
      <c r="E14" s="72"/>
      <c r="F14" s="72"/>
      <c r="G14" s="72"/>
      <c r="H14" s="72"/>
      <c r="I14" s="72"/>
      <c r="J14" s="49">
        <f>SUM(J3:J13)</f>
        <v>27700</v>
      </c>
      <c r="K14" s="94" t="s">
        <v>142</v>
      </c>
      <c r="L14" s="72"/>
    </row>
    <row r="15" spans="2:12" x14ac:dyDescent="0.25">
      <c r="B15">
        <v>13</v>
      </c>
      <c r="C15" s="99">
        <v>46127</v>
      </c>
      <c r="J15">
        <v>0</v>
      </c>
      <c r="L15">
        <v>0</v>
      </c>
    </row>
  </sheetData>
  <mergeCells count="3">
    <mergeCell ref="C14:I14"/>
    <mergeCell ref="K14:L14"/>
    <mergeCell ref="B1:L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A83232"/>
  </sheetPr>
  <dimension ref="B1:F22"/>
  <sheetViews>
    <sheetView workbookViewId="0">
      <selection activeCell="H21" sqref="H21"/>
    </sheetView>
  </sheetViews>
  <sheetFormatPr defaultRowHeight="15" x14ac:dyDescent="0.25"/>
  <cols>
    <col min="1" max="1" width="2" customWidth="1"/>
    <col min="2" max="2" width="22" customWidth="1"/>
    <col min="3" max="6" width="14" customWidth="1"/>
    <col min="7" max="7" width="2" customWidth="1"/>
  </cols>
  <sheetData>
    <row r="1" spans="2:6" ht="27.95" customHeight="1" x14ac:dyDescent="0.25">
      <c r="B1" s="90" t="s">
        <v>143</v>
      </c>
      <c r="C1" s="72"/>
      <c r="D1" s="72"/>
      <c r="E1" s="72"/>
      <c r="F1" s="72"/>
    </row>
    <row r="2" spans="2:6" ht="24.95" customHeight="1" x14ac:dyDescent="0.25">
      <c r="B2" s="18" t="s">
        <v>144</v>
      </c>
      <c r="C2" s="50" t="s">
        <v>126</v>
      </c>
      <c r="D2" s="51" t="s">
        <v>145</v>
      </c>
      <c r="E2" s="52" t="s">
        <v>146</v>
      </c>
      <c r="F2" s="52" t="s">
        <v>135</v>
      </c>
    </row>
    <row r="5" spans="2:6" ht="21.95" customHeight="1" x14ac:dyDescent="0.25">
      <c r="B5" s="1" t="s">
        <v>147</v>
      </c>
      <c r="C5" s="53" t="s">
        <v>148</v>
      </c>
      <c r="D5" s="54" t="s">
        <v>149</v>
      </c>
      <c r="E5" s="55" t="s">
        <v>150</v>
      </c>
      <c r="F5" s="55" t="s">
        <v>150</v>
      </c>
    </row>
    <row r="6" spans="2:6" ht="21.95" customHeight="1" x14ac:dyDescent="0.25">
      <c r="B6" s="1" t="s">
        <v>151</v>
      </c>
      <c r="C6" s="53" t="s">
        <v>148</v>
      </c>
      <c r="D6" s="56" t="s">
        <v>148</v>
      </c>
      <c r="E6" s="57" t="s">
        <v>152</v>
      </c>
      <c r="F6" s="57" t="s">
        <v>152</v>
      </c>
    </row>
    <row r="7" spans="2:6" ht="21.95" customHeight="1" x14ac:dyDescent="0.25">
      <c r="B7" s="1" t="s">
        <v>153</v>
      </c>
      <c r="C7" s="53" t="s">
        <v>154</v>
      </c>
      <c r="D7" s="58" t="s">
        <v>150</v>
      </c>
      <c r="E7" s="55" t="s">
        <v>150</v>
      </c>
      <c r="F7" s="59" t="s">
        <v>148</v>
      </c>
    </row>
    <row r="8" spans="2:6" ht="21.95" customHeight="1" x14ac:dyDescent="0.25">
      <c r="B8" s="1" t="s">
        <v>155</v>
      </c>
      <c r="C8" s="53" t="s">
        <v>154</v>
      </c>
      <c r="D8" s="58" t="s">
        <v>150</v>
      </c>
      <c r="E8" s="59" t="s">
        <v>148</v>
      </c>
      <c r="F8" s="55" t="s">
        <v>150</v>
      </c>
    </row>
    <row r="9" spans="2:6" ht="21.95" customHeight="1" x14ac:dyDescent="0.25">
      <c r="B9" s="1" t="s">
        <v>156</v>
      </c>
      <c r="C9" s="53" t="s">
        <v>157</v>
      </c>
      <c r="D9" s="58" t="s">
        <v>150</v>
      </c>
      <c r="E9" s="55" t="s">
        <v>150</v>
      </c>
      <c r="F9" s="55" t="s">
        <v>150</v>
      </c>
    </row>
    <row r="10" spans="2:6" ht="21.95" customHeight="1" x14ac:dyDescent="0.25">
      <c r="B10" s="1" t="s">
        <v>158</v>
      </c>
      <c r="C10" s="60" t="s">
        <v>152</v>
      </c>
      <c r="D10" s="54" t="s">
        <v>152</v>
      </c>
      <c r="E10" s="59" t="s">
        <v>148</v>
      </c>
      <c r="F10" s="55" t="s">
        <v>150</v>
      </c>
    </row>
    <row r="11" spans="2:6" ht="21.95" customHeight="1" x14ac:dyDescent="0.25">
      <c r="B11" s="1" t="s">
        <v>159</v>
      </c>
      <c r="C11" s="61" t="s">
        <v>150</v>
      </c>
      <c r="D11" s="54" t="s">
        <v>160</v>
      </c>
      <c r="E11" s="57" t="s">
        <v>152</v>
      </c>
      <c r="F11" s="59" t="s">
        <v>148</v>
      </c>
    </row>
    <row r="12" spans="2:6" ht="21.95" customHeight="1" x14ac:dyDescent="0.25">
      <c r="B12" s="1" t="s">
        <v>161</v>
      </c>
      <c r="C12" s="60" t="s">
        <v>162</v>
      </c>
      <c r="D12" s="54" t="s">
        <v>163</v>
      </c>
      <c r="E12" s="57" t="s">
        <v>164</v>
      </c>
      <c r="F12" s="57" t="s">
        <v>165</v>
      </c>
    </row>
    <row r="13" spans="2:6" ht="21.95" customHeight="1" x14ac:dyDescent="0.25">
      <c r="B13" s="1" t="s">
        <v>166</v>
      </c>
      <c r="C13" s="60" t="s">
        <v>167</v>
      </c>
      <c r="D13" s="54" t="s">
        <v>168</v>
      </c>
      <c r="E13" s="57" t="s">
        <v>165</v>
      </c>
      <c r="F13" s="57" t="s">
        <v>164</v>
      </c>
    </row>
    <row r="14" spans="2:6" ht="21.95" customHeight="1" x14ac:dyDescent="0.25">
      <c r="B14" s="85" t="s">
        <v>44</v>
      </c>
      <c r="C14" s="72"/>
      <c r="D14" s="72"/>
      <c r="E14" s="72"/>
      <c r="F14" s="72"/>
    </row>
    <row r="15" spans="2:6" ht="20.100000000000001" customHeight="1" x14ac:dyDescent="0.25">
      <c r="B15" s="95" t="s">
        <v>169</v>
      </c>
      <c r="C15" s="72"/>
      <c r="D15" s="72"/>
      <c r="E15" s="72"/>
      <c r="F15" s="72"/>
    </row>
    <row r="16" spans="2:6" ht="20.100000000000001" customHeight="1" x14ac:dyDescent="0.25">
      <c r="B16" s="95" t="s">
        <v>170</v>
      </c>
      <c r="C16" s="72"/>
      <c r="D16" s="72"/>
      <c r="E16" s="72"/>
      <c r="F16" s="72"/>
    </row>
    <row r="17" spans="2:6" ht="20.100000000000001" customHeight="1" x14ac:dyDescent="0.25">
      <c r="B17" s="95" t="s">
        <v>171</v>
      </c>
      <c r="C17" s="72"/>
      <c r="D17" s="72"/>
      <c r="E17" s="72"/>
      <c r="F17" s="72"/>
    </row>
    <row r="18" spans="2:6" ht="20.100000000000001" customHeight="1" x14ac:dyDescent="0.25">
      <c r="B18" s="95" t="s">
        <v>172</v>
      </c>
      <c r="C18" s="72"/>
      <c r="D18" s="72"/>
      <c r="E18" s="72"/>
      <c r="F18" s="72"/>
    </row>
    <row r="19" spans="2:6" ht="20.100000000000001" customHeight="1" x14ac:dyDescent="0.25">
      <c r="B19" s="95" t="s">
        <v>173</v>
      </c>
      <c r="C19" s="72"/>
      <c r="D19" s="72"/>
      <c r="E19" s="72"/>
      <c r="F19" s="72"/>
    </row>
    <row r="20" spans="2:6" ht="20.100000000000001" customHeight="1" x14ac:dyDescent="0.25">
      <c r="B20" s="95" t="s">
        <v>174</v>
      </c>
      <c r="C20" s="72"/>
      <c r="D20" s="72"/>
      <c r="E20" s="72"/>
      <c r="F20" s="72"/>
    </row>
    <row r="21" spans="2:6" ht="20.100000000000001" customHeight="1" x14ac:dyDescent="0.25">
      <c r="B21" s="95" t="s">
        <v>175</v>
      </c>
      <c r="C21" s="72"/>
      <c r="D21" s="72"/>
      <c r="E21" s="72"/>
      <c r="F21" s="72"/>
    </row>
    <row r="22" spans="2:6" ht="20.100000000000001" customHeight="1" x14ac:dyDescent="0.25">
      <c r="B22" s="95" t="s">
        <v>176</v>
      </c>
      <c r="C22" s="72"/>
      <c r="D22" s="72"/>
      <c r="E22" s="72"/>
      <c r="F22" s="72"/>
    </row>
  </sheetData>
  <mergeCells count="10">
    <mergeCell ref="B1:F1"/>
    <mergeCell ref="B14:F14"/>
    <mergeCell ref="B22:F22"/>
    <mergeCell ref="B17:F17"/>
    <mergeCell ref="B18:F18"/>
    <mergeCell ref="B21:F21"/>
    <mergeCell ref="B16:F16"/>
    <mergeCell ref="B20:F20"/>
    <mergeCell ref="B15:F15"/>
    <mergeCell ref="B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>
    <tabColor rgb="FF1E3A5F"/>
  </sheetPr>
  <dimension ref="B1:B48"/>
  <sheetViews>
    <sheetView workbookViewId="0">
      <selection activeCell="F19" sqref="F19"/>
    </sheetView>
  </sheetViews>
  <sheetFormatPr defaultRowHeight="15" x14ac:dyDescent="0.25"/>
  <cols>
    <col min="1" max="1" width="2" customWidth="1"/>
    <col min="2" max="2" width="113" customWidth="1"/>
    <col min="3" max="3" width="2" customWidth="1"/>
  </cols>
  <sheetData>
    <row r="1" spans="2:2" x14ac:dyDescent="0.25">
      <c r="B1" s="96" t="s">
        <v>177</v>
      </c>
    </row>
    <row r="2" spans="2:2" x14ac:dyDescent="0.25">
      <c r="B2" s="62"/>
    </row>
    <row r="3" spans="2:2" x14ac:dyDescent="0.25">
      <c r="B3" s="63" t="s">
        <v>178</v>
      </c>
    </row>
    <row r="4" spans="2:2" x14ac:dyDescent="0.25">
      <c r="B4" s="64" t="s">
        <v>179</v>
      </c>
    </row>
    <row r="5" spans="2:2" x14ac:dyDescent="0.25">
      <c r="B5" s="65" t="s">
        <v>180</v>
      </c>
    </row>
    <row r="6" spans="2:2" x14ac:dyDescent="0.25">
      <c r="B6" s="64" t="s">
        <v>181</v>
      </c>
    </row>
    <row r="7" spans="2:2" x14ac:dyDescent="0.25">
      <c r="B7" s="65" t="s">
        <v>182</v>
      </c>
    </row>
    <row r="8" spans="2:2" x14ac:dyDescent="0.25">
      <c r="B8" s="64" t="s">
        <v>183</v>
      </c>
    </row>
    <row r="9" spans="2:2" x14ac:dyDescent="0.25">
      <c r="B9" s="62"/>
    </row>
    <row r="10" spans="2:2" x14ac:dyDescent="0.25">
      <c r="B10" s="63" t="s">
        <v>184</v>
      </c>
    </row>
    <row r="11" spans="2:2" x14ac:dyDescent="0.25">
      <c r="B11" s="65" t="s">
        <v>185</v>
      </c>
    </row>
    <row r="12" spans="2:2" ht="25.5" x14ac:dyDescent="0.25">
      <c r="B12" s="64" t="s">
        <v>186</v>
      </c>
    </row>
    <row r="13" spans="2:2" x14ac:dyDescent="0.25">
      <c r="B13" s="65" t="s">
        <v>187</v>
      </c>
    </row>
    <row r="14" spans="2:2" x14ac:dyDescent="0.25">
      <c r="B14" s="64" t="s">
        <v>188</v>
      </c>
    </row>
    <row r="15" spans="2:2" x14ac:dyDescent="0.25">
      <c r="B15" s="65" t="s">
        <v>189</v>
      </c>
    </row>
    <row r="16" spans="2:2" x14ac:dyDescent="0.25">
      <c r="B16" s="64" t="s">
        <v>190</v>
      </c>
    </row>
    <row r="17" spans="2:2" x14ac:dyDescent="0.25">
      <c r="B17" s="65" t="s">
        <v>191</v>
      </c>
    </row>
    <row r="18" spans="2:2" x14ac:dyDescent="0.25">
      <c r="B18" s="64" t="s">
        <v>192</v>
      </c>
    </row>
    <row r="19" spans="2:2" x14ac:dyDescent="0.25">
      <c r="B19" s="65" t="s">
        <v>193</v>
      </c>
    </row>
    <row r="20" spans="2:2" x14ac:dyDescent="0.25">
      <c r="B20" s="62"/>
    </row>
    <row r="21" spans="2:2" x14ac:dyDescent="0.25">
      <c r="B21" s="63" t="s">
        <v>194</v>
      </c>
    </row>
    <row r="22" spans="2:2" x14ac:dyDescent="0.25">
      <c r="B22" s="64" t="s">
        <v>195</v>
      </c>
    </row>
    <row r="23" spans="2:2" x14ac:dyDescent="0.25">
      <c r="B23" s="65" t="s">
        <v>196</v>
      </c>
    </row>
    <row r="24" spans="2:2" x14ac:dyDescent="0.25">
      <c r="B24" s="64" t="s">
        <v>197</v>
      </c>
    </row>
    <row r="25" spans="2:2" x14ac:dyDescent="0.25">
      <c r="B25" s="65" t="s">
        <v>198</v>
      </c>
    </row>
    <row r="26" spans="2:2" ht="25.5" x14ac:dyDescent="0.25">
      <c r="B26" s="64" t="s">
        <v>199</v>
      </c>
    </row>
    <row r="27" spans="2:2" x14ac:dyDescent="0.25">
      <c r="B27" s="66" t="s">
        <v>200</v>
      </c>
    </row>
    <row r="28" spans="2:2" x14ac:dyDescent="0.25">
      <c r="B28" s="62"/>
    </row>
    <row r="29" spans="2:2" x14ac:dyDescent="0.25">
      <c r="B29" s="63" t="s">
        <v>201</v>
      </c>
    </row>
    <row r="30" spans="2:2" x14ac:dyDescent="0.25">
      <c r="B30" s="64" t="s">
        <v>202</v>
      </c>
    </row>
    <row r="31" spans="2:2" x14ac:dyDescent="0.25">
      <c r="B31" s="65" t="s">
        <v>203</v>
      </c>
    </row>
    <row r="32" spans="2:2" x14ac:dyDescent="0.25">
      <c r="B32" s="64" t="s">
        <v>204</v>
      </c>
    </row>
    <row r="33" spans="2:2" x14ac:dyDescent="0.25">
      <c r="B33" s="65" t="s">
        <v>205</v>
      </c>
    </row>
    <row r="34" spans="2:2" x14ac:dyDescent="0.25">
      <c r="B34" s="64" t="s">
        <v>206</v>
      </c>
    </row>
    <row r="35" spans="2:2" x14ac:dyDescent="0.25">
      <c r="B35" s="65" t="s">
        <v>207</v>
      </c>
    </row>
    <row r="36" spans="2:2" x14ac:dyDescent="0.25">
      <c r="B36" s="62"/>
    </row>
    <row r="37" spans="2:2" x14ac:dyDescent="0.25">
      <c r="B37" s="63" t="s">
        <v>208</v>
      </c>
    </row>
    <row r="38" spans="2:2" x14ac:dyDescent="0.25">
      <c r="B38" s="64" t="s">
        <v>209</v>
      </c>
    </row>
    <row r="39" spans="2:2" x14ac:dyDescent="0.25">
      <c r="B39" s="65" t="s">
        <v>210</v>
      </c>
    </row>
    <row r="40" spans="2:2" x14ac:dyDescent="0.25">
      <c r="B40" s="64" t="s">
        <v>211</v>
      </c>
    </row>
    <row r="41" spans="2:2" x14ac:dyDescent="0.25">
      <c r="B41" s="65" t="s">
        <v>212</v>
      </c>
    </row>
    <row r="42" spans="2:2" x14ac:dyDescent="0.25">
      <c r="B42" s="62"/>
    </row>
    <row r="43" spans="2:2" x14ac:dyDescent="0.25">
      <c r="B43" s="63" t="s">
        <v>213</v>
      </c>
    </row>
    <row r="44" spans="2:2" x14ac:dyDescent="0.25">
      <c r="B44" s="67" t="s">
        <v>214</v>
      </c>
    </row>
    <row r="45" spans="2:2" x14ac:dyDescent="0.25">
      <c r="B45" s="66" t="s">
        <v>215</v>
      </c>
    </row>
    <row r="46" spans="2:2" x14ac:dyDescent="0.25">
      <c r="B46" s="67" t="s">
        <v>216</v>
      </c>
    </row>
    <row r="47" spans="2:2" x14ac:dyDescent="0.25">
      <c r="B47" s="65" t="s">
        <v>217</v>
      </c>
    </row>
    <row r="48" spans="2:2" x14ac:dyDescent="0.25">
      <c r="B48" s="64" t="s">
        <v>218</v>
      </c>
    </row>
  </sheetData>
  <mergeCells count="1">
    <mergeCell ref="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888888"/>
  </sheetPr>
  <dimension ref="B1:B107"/>
  <sheetViews>
    <sheetView workbookViewId="0">
      <selection activeCell="D10" sqref="D10"/>
    </sheetView>
  </sheetViews>
  <sheetFormatPr defaultRowHeight="15" x14ac:dyDescent="0.25"/>
  <cols>
    <col min="1" max="1" width="2" customWidth="1"/>
    <col min="2" max="2" width="90" customWidth="1"/>
    <col min="3" max="3" width="2" customWidth="1"/>
  </cols>
  <sheetData>
    <row r="1" spans="2:2" ht="27.95" customHeight="1" x14ac:dyDescent="0.25">
      <c r="B1" s="97" t="s">
        <v>219</v>
      </c>
    </row>
    <row r="2" spans="2:2" ht="15.95" customHeight="1" x14ac:dyDescent="0.25">
      <c r="B2" s="68" t="s">
        <v>220</v>
      </c>
    </row>
    <row r="3" spans="2:2" ht="15.95" customHeight="1" x14ac:dyDescent="0.25">
      <c r="B3" s="68" t="s">
        <v>221</v>
      </c>
    </row>
    <row r="4" spans="2:2" ht="15.95" customHeight="1" x14ac:dyDescent="0.25">
      <c r="B4" s="68" t="s">
        <v>222</v>
      </c>
    </row>
    <row r="5" spans="2:2" ht="15.95" customHeight="1" x14ac:dyDescent="0.25">
      <c r="B5" s="68" t="s">
        <v>220</v>
      </c>
    </row>
    <row r="6" spans="2:2" ht="15.95" customHeight="1" x14ac:dyDescent="0.25">
      <c r="B6" s="69" t="s">
        <v>223</v>
      </c>
    </row>
    <row r="7" spans="2:2" ht="15.95" customHeight="1" x14ac:dyDescent="0.25">
      <c r="B7" s="70" t="s">
        <v>224</v>
      </c>
    </row>
    <row r="8" spans="2:2" ht="15.95" customHeight="1" x14ac:dyDescent="0.25">
      <c r="B8" s="70" t="s">
        <v>225</v>
      </c>
    </row>
    <row r="9" spans="2:2" ht="15.95" customHeight="1" x14ac:dyDescent="0.25">
      <c r="B9" s="70" t="s">
        <v>226</v>
      </c>
    </row>
    <row r="10" spans="2:2" ht="15.95" customHeight="1" x14ac:dyDescent="0.25">
      <c r="B10" s="70"/>
    </row>
    <row r="11" spans="2:2" ht="15.95" customHeight="1" x14ac:dyDescent="0.25">
      <c r="B11" s="70" t="s">
        <v>227</v>
      </c>
    </row>
    <row r="12" spans="2:2" ht="15.95" customHeight="1" x14ac:dyDescent="0.25">
      <c r="B12" s="70" t="s">
        <v>228</v>
      </c>
    </row>
    <row r="13" spans="2:2" ht="15.95" customHeight="1" x14ac:dyDescent="0.25">
      <c r="B13" s="70"/>
    </row>
    <row r="14" spans="2:2" ht="15.95" customHeight="1" x14ac:dyDescent="0.25">
      <c r="B14" s="70" t="s">
        <v>229</v>
      </c>
    </row>
    <row r="15" spans="2:2" ht="15.95" customHeight="1" x14ac:dyDescent="0.25">
      <c r="B15" s="70" t="s">
        <v>230</v>
      </c>
    </row>
    <row r="16" spans="2:2" ht="15.95" customHeight="1" x14ac:dyDescent="0.25">
      <c r="B16" s="70" t="s">
        <v>231</v>
      </c>
    </row>
    <row r="17" spans="2:2" ht="15.95" customHeight="1" x14ac:dyDescent="0.25">
      <c r="B17" s="70" t="s">
        <v>232</v>
      </c>
    </row>
    <row r="18" spans="2:2" ht="15.95" customHeight="1" x14ac:dyDescent="0.25">
      <c r="B18" s="70" t="s">
        <v>233</v>
      </c>
    </row>
    <row r="19" spans="2:2" ht="15.95" customHeight="1" x14ac:dyDescent="0.25">
      <c r="B19" s="70" t="s">
        <v>234</v>
      </c>
    </row>
    <row r="20" spans="2:2" ht="15.95" customHeight="1" x14ac:dyDescent="0.25">
      <c r="B20" s="70" t="s">
        <v>235</v>
      </c>
    </row>
    <row r="21" spans="2:2" ht="15.95" customHeight="1" x14ac:dyDescent="0.25">
      <c r="B21" s="70" t="s">
        <v>236</v>
      </c>
    </row>
    <row r="22" spans="2:2" ht="15.95" customHeight="1" x14ac:dyDescent="0.25">
      <c r="B22" s="70" t="s">
        <v>237</v>
      </c>
    </row>
    <row r="23" spans="2:2" ht="15.95" customHeight="1" x14ac:dyDescent="0.25">
      <c r="B23" s="70"/>
    </row>
    <row r="24" spans="2:2" ht="15.95" customHeight="1" x14ac:dyDescent="0.25">
      <c r="B24" s="70" t="s">
        <v>238</v>
      </c>
    </row>
    <row r="25" spans="2:2" ht="15.95" customHeight="1" x14ac:dyDescent="0.25">
      <c r="B25" s="70" t="s">
        <v>239</v>
      </c>
    </row>
    <row r="26" spans="2:2" ht="15.95" customHeight="1" x14ac:dyDescent="0.25">
      <c r="B26" s="70" t="s">
        <v>240</v>
      </c>
    </row>
    <row r="27" spans="2:2" ht="15.95" customHeight="1" x14ac:dyDescent="0.25">
      <c r="B27" s="70"/>
    </row>
    <row r="28" spans="2:2" ht="15.95" customHeight="1" x14ac:dyDescent="0.25">
      <c r="B28" s="70" t="s">
        <v>241</v>
      </c>
    </row>
    <row r="29" spans="2:2" ht="15.95" customHeight="1" x14ac:dyDescent="0.25">
      <c r="B29" s="70" t="s">
        <v>242</v>
      </c>
    </row>
    <row r="30" spans="2:2" ht="15.95" customHeight="1" x14ac:dyDescent="0.25">
      <c r="B30" s="70" t="s">
        <v>243</v>
      </c>
    </row>
    <row r="31" spans="2:2" ht="15.95" customHeight="1" x14ac:dyDescent="0.25">
      <c r="B31" s="70" t="s">
        <v>244</v>
      </c>
    </row>
    <row r="32" spans="2:2" ht="15.95" customHeight="1" x14ac:dyDescent="0.25">
      <c r="B32" s="70" t="s">
        <v>245</v>
      </c>
    </row>
    <row r="33" spans="2:2" ht="15.95" customHeight="1" x14ac:dyDescent="0.25">
      <c r="B33" s="70" t="s">
        <v>246</v>
      </c>
    </row>
    <row r="34" spans="2:2" ht="15.95" customHeight="1" x14ac:dyDescent="0.25">
      <c r="B34" s="70"/>
    </row>
    <row r="35" spans="2:2" ht="15.95" customHeight="1" x14ac:dyDescent="0.25">
      <c r="B35" s="70" t="s">
        <v>247</v>
      </c>
    </row>
    <row r="36" spans="2:2" ht="15.95" customHeight="1" x14ac:dyDescent="0.25">
      <c r="B36" s="70" t="s">
        <v>248</v>
      </c>
    </row>
    <row r="37" spans="2:2" ht="15.95" customHeight="1" x14ac:dyDescent="0.25">
      <c r="B37" s="70" t="s">
        <v>249</v>
      </c>
    </row>
    <row r="38" spans="2:2" ht="15.95" customHeight="1" x14ac:dyDescent="0.25">
      <c r="B38" s="70"/>
    </row>
    <row r="39" spans="2:2" ht="15.95" customHeight="1" x14ac:dyDescent="0.25">
      <c r="B39" s="70" t="s">
        <v>250</v>
      </c>
    </row>
    <row r="40" spans="2:2" ht="15.95" customHeight="1" x14ac:dyDescent="0.25">
      <c r="B40" s="69" t="s">
        <v>251</v>
      </c>
    </row>
    <row r="41" spans="2:2" ht="15.95" customHeight="1" x14ac:dyDescent="0.25">
      <c r="B41" s="70"/>
    </row>
    <row r="42" spans="2:2" ht="15.95" customHeight="1" x14ac:dyDescent="0.25">
      <c r="B42" s="68" t="s">
        <v>220</v>
      </c>
    </row>
    <row r="43" spans="2:2" ht="15.95" customHeight="1" x14ac:dyDescent="0.25">
      <c r="B43" s="68" t="s">
        <v>252</v>
      </c>
    </row>
    <row r="44" spans="2:2" ht="15.95" customHeight="1" x14ac:dyDescent="0.25">
      <c r="B44" s="68" t="s">
        <v>253</v>
      </c>
    </row>
    <row r="45" spans="2:2" ht="15.95" customHeight="1" x14ac:dyDescent="0.25">
      <c r="B45" s="68" t="s">
        <v>220</v>
      </c>
    </row>
    <row r="46" spans="2:2" ht="15.95" customHeight="1" x14ac:dyDescent="0.25">
      <c r="B46" s="69" t="s">
        <v>254</v>
      </c>
    </row>
    <row r="47" spans="2:2" ht="15.95" customHeight="1" x14ac:dyDescent="0.25">
      <c r="B47" s="70" t="s">
        <v>224</v>
      </c>
    </row>
    <row r="48" spans="2:2" ht="15.95" customHeight="1" x14ac:dyDescent="0.25">
      <c r="B48" s="70" t="s">
        <v>225</v>
      </c>
    </row>
    <row r="49" spans="2:2" ht="15.95" customHeight="1" x14ac:dyDescent="0.25">
      <c r="B49" s="70" t="s">
        <v>255</v>
      </c>
    </row>
    <row r="50" spans="2:2" ht="15.95" customHeight="1" x14ac:dyDescent="0.25">
      <c r="B50" s="70"/>
    </row>
    <row r="51" spans="2:2" ht="15.95" customHeight="1" x14ac:dyDescent="0.25">
      <c r="B51" s="70" t="s">
        <v>227</v>
      </c>
    </row>
    <row r="52" spans="2:2" ht="15.95" customHeight="1" x14ac:dyDescent="0.25">
      <c r="B52" s="70" t="s">
        <v>228</v>
      </c>
    </row>
    <row r="53" spans="2:2" ht="15.95" customHeight="1" x14ac:dyDescent="0.25">
      <c r="B53" s="70"/>
    </row>
    <row r="54" spans="2:2" ht="15.95" customHeight="1" x14ac:dyDescent="0.25">
      <c r="B54" s="70" t="s">
        <v>256</v>
      </c>
    </row>
    <row r="55" spans="2:2" ht="15.95" customHeight="1" x14ac:dyDescent="0.25">
      <c r="B55" s="70" t="s">
        <v>257</v>
      </c>
    </row>
    <row r="56" spans="2:2" ht="15.95" customHeight="1" x14ac:dyDescent="0.25">
      <c r="B56" s="70" t="s">
        <v>258</v>
      </c>
    </row>
    <row r="57" spans="2:2" ht="15.95" customHeight="1" x14ac:dyDescent="0.25">
      <c r="B57" s="70" t="s">
        <v>259</v>
      </c>
    </row>
    <row r="58" spans="2:2" ht="15.95" customHeight="1" x14ac:dyDescent="0.25">
      <c r="B58" s="70" t="s">
        <v>237</v>
      </c>
    </row>
    <row r="59" spans="2:2" ht="15.95" customHeight="1" x14ac:dyDescent="0.25">
      <c r="B59" s="70"/>
    </row>
    <row r="60" spans="2:2" ht="15.95" customHeight="1" x14ac:dyDescent="0.25">
      <c r="B60" s="70" t="s">
        <v>260</v>
      </c>
    </row>
    <row r="61" spans="2:2" ht="15.95" customHeight="1" x14ac:dyDescent="0.25">
      <c r="B61" s="70" t="s">
        <v>261</v>
      </c>
    </row>
    <row r="62" spans="2:2" ht="15.95" customHeight="1" x14ac:dyDescent="0.25">
      <c r="B62" s="70" t="s">
        <v>262</v>
      </c>
    </row>
    <row r="63" spans="2:2" ht="15.95" customHeight="1" x14ac:dyDescent="0.25">
      <c r="B63" s="70" t="s">
        <v>263</v>
      </c>
    </row>
    <row r="64" spans="2:2" ht="15.95" customHeight="1" x14ac:dyDescent="0.25">
      <c r="B64" s="70"/>
    </row>
    <row r="65" spans="2:2" ht="15.95" customHeight="1" x14ac:dyDescent="0.25">
      <c r="B65" s="70" t="s">
        <v>264</v>
      </c>
    </row>
    <row r="66" spans="2:2" ht="15.95" customHeight="1" x14ac:dyDescent="0.25">
      <c r="B66" s="70" t="s">
        <v>265</v>
      </c>
    </row>
    <row r="67" spans="2:2" ht="15.95" customHeight="1" x14ac:dyDescent="0.25">
      <c r="B67" s="70" t="s">
        <v>266</v>
      </c>
    </row>
    <row r="68" spans="2:2" ht="15.95" customHeight="1" x14ac:dyDescent="0.25">
      <c r="B68" s="70"/>
    </row>
    <row r="69" spans="2:2" ht="15.95" customHeight="1" x14ac:dyDescent="0.25">
      <c r="B69" s="70" t="s">
        <v>248</v>
      </c>
    </row>
    <row r="70" spans="2:2" ht="15.95" customHeight="1" x14ac:dyDescent="0.25">
      <c r="B70" s="70" t="s">
        <v>267</v>
      </c>
    </row>
    <row r="71" spans="2:2" ht="15.95" customHeight="1" x14ac:dyDescent="0.25">
      <c r="B71" s="70"/>
    </row>
    <row r="72" spans="2:2" ht="15.95" customHeight="1" x14ac:dyDescent="0.25">
      <c r="B72" s="70" t="s">
        <v>268</v>
      </c>
    </row>
    <row r="73" spans="2:2" ht="15.95" customHeight="1" x14ac:dyDescent="0.25">
      <c r="B73" s="69" t="s">
        <v>251</v>
      </c>
    </row>
    <row r="74" spans="2:2" ht="15.95" customHeight="1" x14ac:dyDescent="0.25">
      <c r="B74" s="70"/>
    </row>
    <row r="75" spans="2:2" ht="15.95" customHeight="1" x14ac:dyDescent="0.25">
      <c r="B75" s="68" t="s">
        <v>220</v>
      </c>
    </row>
    <row r="76" spans="2:2" ht="15.95" customHeight="1" x14ac:dyDescent="0.25">
      <c r="B76" s="68" t="s">
        <v>269</v>
      </c>
    </row>
    <row r="77" spans="2:2" ht="15.95" customHeight="1" x14ac:dyDescent="0.25">
      <c r="B77" s="68" t="s">
        <v>220</v>
      </c>
    </row>
    <row r="78" spans="2:2" ht="15.95" customHeight="1" x14ac:dyDescent="0.25">
      <c r="B78" s="69" t="s">
        <v>270</v>
      </c>
    </row>
    <row r="79" spans="2:2" ht="15.95" customHeight="1" x14ac:dyDescent="0.25">
      <c r="B79" s="70" t="s">
        <v>271</v>
      </c>
    </row>
    <row r="80" spans="2:2" ht="15.95" customHeight="1" x14ac:dyDescent="0.25">
      <c r="B80" s="70" t="s">
        <v>255</v>
      </c>
    </row>
    <row r="81" spans="2:2" ht="15.95" customHeight="1" x14ac:dyDescent="0.25">
      <c r="B81" s="70" t="s">
        <v>272</v>
      </c>
    </row>
    <row r="82" spans="2:2" ht="15.95" customHeight="1" x14ac:dyDescent="0.25">
      <c r="B82" s="70" t="s">
        <v>273</v>
      </c>
    </row>
    <row r="83" spans="2:2" ht="15.95" customHeight="1" x14ac:dyDescent="0.25">
      <c r="B83" s="70"/>
    </row>
    <row r="84" spans="2:2" ht="15.95" customHeight="1" x14ac:dyDescent="0.25">
      <c r="B84" s="70" t="s">
        <v>274</v>
      </c>
    </row>
    <row r="85" spans="2:2" ht="15.95" customHeight="1" x14ac:dyDescent="0.25">
      <c r="B85" s="70"/>
    </row>
    <row r="86" spans="2:2" ht="15.95" customHeight="1" x14ac:dyDescent="0.25">
      <c r="B86" s="70" t="s">
        <v>275</v>
      </c>
    </row>
    <row r="87" spans="2:2" ht="15.95" customHeight="1" x14ac:dyDescent="0.25">
      <c r="B87" s="70" t="s">
        <v>276</v>
      </c>
    </row>
    <row r="88" spans="2:2" ht="15.95" customHeight="1" x14ac:dyDescent="0.25">
      <c r="B88" s="70" t="s">
        <v>277</v>
      </c>
    </row>
    <row r="89" spans="2:2" ht="15.95" customHeight="1" x14ac:dyDescent="0.25">
      <c r="B89" s="70" t="s">
        <v>237</v>
      </c>
    </row>
    <row r="90" spans="2:2" ht="15.95" customHeight="1" x14ac:dyDescent="0.25">
      <c r="B90" s="70"/>
    </row>
    <row r="91" spans="2:2" ht="15.95" customHeight="1" x14ac:dyDescent="0.25">
      <c r="B91" s="70" t="s">
        <v>278</v>
      </c>
    </row>
    <row r="92" spans="2:2" ht="15.95" customHeight="1" x14ac:dyDescent="0.25">
      <c r="B92" s="70" t="s">
        <v>279</v>
      </c>
    </row>
    <row r="93" spans="2:2" ht="15.95" customHeight="1" x14ac:dyDescent="0.25">
      <c r="B93" s="70"/>
    </row>
    <row r="94" spans="2:2" ht="15.95" customHeight="1" x14ac:dyDescent="0.25">
      <c r="B94" s="70" t="s">
        <v>280</v>
      </c>
    </row>
    <row r="95" spans="2:2" ht="15.95" customHeight="1" x14ac:dyDescent="0.25">
      <c r="B95" s="70" t="s">
        <v>281</v>
      </c>
    </row>
    <row r="96" spans="2:2" ht="15.95" customHeight="1" x14ac:dyDescent="0.25">
      <c r="B96" s="70" t="s">
        <v>282</v>
      </c>
    </row>
    <row r="97" spans="2:2" ht="15.95" customHeight="1" x14ac:dyDescent="0.25">
      <c r="B97" s="70"/>
    </row>
    <row r="98" spans="2:2" ht="15.95" customHeight="1" x14ac:dyDescent="0.25">
      <c r="B98" s="70" t="s">
        <v>283</v>
      </c>
    </row>
    <row r="99" spans="2:2" ht="15.95" customHeight="1" x14ac:dyDescent="0.25">
      <c r="B99" s="70" t="s">
        <v>284</v>
      </c>
    </row>
    <row r="100" spans="2:2" ht="15.95" customHeight="1" x14ac:dyDescent="0.25">
      <c r="B100" s="70" t="s">
        <v>285</v>
      </c>
    </row>
    <row r="101" spans="2:2" ht="15.95" customHeight="1" x14ac:dyDescent="0.25">
      <c r="B101" s="70" t="s">
        <v>286</v>
      </c>
    </row>
    <row r="102" spans="2:2" ht="15.95" customHeight="1" x14ac:dyDescent="0.25">
      <c r="B102" s="70" t="s">
        <v>287</v>
      </c>
    </row>
    <row r="103" spans="2:2" ht="15.95" customHeight="1" x14ac:dyDescent="0.25">
      <c r="B103" s="70" t="s">
        <v>263</v>
      </c>
    </row>
    <row r="104" spans="2:2" ht="15.95" customHeight="1" x14ac:dyDescent="0.25">
      <c r="B104" s="70"/>
    </row>
    <row r="105" spans="2:2" ht="15.95" customHeight="1" x14ac:dyDescent="0.25">
      <c r="B105" s="70" t="s">
        <v>288</v>
      </c>
    </row>
    <row r="106" spans="2:2" ht="15.95" customHeight="1" x14ac:dyDescent="0.25">
      <c r="B106" s="70" t="s">
        <v>289</v>
      </c>
    </row>
    <row r="107" spans="2:2" ht="15.95" customHeight="1" x14ac:dyDescent="0.25">
      <c r="B107" s="69" t="s">
        <v>251</v>
      </c>
    </row>
  </sheetData>
  <mergeCells count="1">
    <mergeCell ref="B1"/>
  </mergeCells>
  <phoneticPr fontId="3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Дашборд</vt:lpstr>
      <vt:lpstr>Журнал</vt:lpstr>
      <vt:lpstr>Калькулятор</vt:lpstr>
      <vt:lpstr>Циклы</vt:lpstr>
      <vt:lpstr>Карта решений</vt:lpstr>
      <vt:lpstr>Инструкция</vt:lpstr>
      <vt:lpstr>VBA_Макрос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Дубровских</cp:lastModifiedBy>
  <dcterms:created xsi:type="dcterms:W3CDTF">2026-04-14T17:38:27Z</dcterms:created>
  <dcterms:modified xsi:type="dcterms:W3CDTF">2026-04-23T10:59:54Z</dcterms:modified>
</cp:coreProperties>
</file>