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Журнал" sheetId="2" state="visible" r:id="rId2"/>
    <sheet xmlns:r="http://schemas.openxmlformats.org/officeDocument/2006/relationships" name="Калькулятор" sheetId="3" state="visible" r:id="rId3"/>
    <sheet xmlns:r="http://schemas.openxmlformats.org/officeDocument/2006/relationships" name="Циклы" sheetId="4" state="visible" r:id="rId4"/>
    <sheet xmlns:r="http://schemas.openxmlformats.org/officeDocument/2006/relationships" name="Карта решений" sheetId="5" state="visible" r:id="rId5"/>
    <sheet xmlns:r="http://schemas.openxmlformats.org/officeDocument/2006/relationships" name="Инструкция" sheetId="6" state="visible" r:id="rId6"/>
    <sheet xmlns:r="http://schemas.openxmlformats.org/officeDocument/2006/relationships" name="VBA_Макро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DD.MM.YY"/>
    <numFmt numFmtId="166" formatCode="0.0"/>
    <numFmt numFmtId="167" formatCode="0.0000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1A1F2E"/>
      <sz val="11"/>
    </font>
    <font>
      <name val="Calibri"/>
      <b val="1"/>
      <color rgb="001A1F2E"/>
      <sz val="12"/>
    </font>
    <font>
      <name val="Calibri"/>
      <b val="1"/>
      <color rgb="00000000"/>
      <sz val="10"/>
    </font>
    <font>
      <name val="Calibri"/>
      <b val="1"/>
      <sz val="13"/>
    </font>
    <font>
      <name val="Calibri"/>
      <b val="1"/>
      <sz val="11"/>
    </font>
    <font>
      <name val="Calibri"/>
      <b val="1"/>
      <color rgb="00000000"/>
      <sz val="13"/>
    </font>
    <font>
      <name val="Calibri"/>
      <b val="1"/>
      <sz val="14"/>
    </font>
    <font>
      <name val="Calibri"/>
      <b val="1"/>
      <color rgb="00FFFFFF"/>
      <sz val="10"/>
    </font>
    <font>
      <name val="Calibri"/>
      <b val="1"/>
      <sz val="12"/>
    </font>
    <font>
      <name val="Calibri"/>
      <i val="1"/>
      <color rgb="00777777"/>
      <sz val="9"/>
    </font>
    <font>
      <name val="Calibri"/>
      <b val="1"/>
      <color rgb="00A83232"/>
      <sz val="10"/>
    </font>
    <font>
      <name val="Calibri"/>
      <i val="1"/>
      <color rgb="00555555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D7A4A"/>
      <sz val="10"/>
    </font>
    <font>
      <name val="Calibri"/>
      <color rgb="00000000"/>
      <sz val="9"/>
    </font>
    <font>
      <name val="Calibri"/>
      <b val="1"/>
      <color rgb="001D7A4A"/>
      <sz val="11"/>
    </font>
    <font>
      <name val="Calibri"/>
      <b val="1"/>
      <color rgb="00A83232"/>
      <sz val="11"/>
    </font>
    <font>
      <name val="Calibri"/>
      <b val="1"/>
      <color rgb="00C87520"/>
      <sz val="11"/>
    </font>
    <font>
      <name val="Calibri"/>
      <b val="1"/>
      <color rgb="00C87520"/>
      <sz val="10"/>
    </font>
    <font>
      <name val="Calibri"/>
      <b val="1"/>
      <color rgb="00FFFFFF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ourier New"/>
      <i val="1"/>
      <color rgb="00008000"/>
      <sz val="10"/>
    </font>
    <font>
      <name val="Courier New"/>
      <b val="1"/>
      <color rgb="000000CC"/>
      <sz val="10"/>
    </font>
    <font>
      <name val="Courier New"/>
      <sz val="10"/>
    </font>
  </fonts>
  <fills count="14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1E3A5F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0A7A8A"/>
      </patternFill>
    </fill>
    <fill>
      <patternFill patternType="solid">
        <fgColor rgb="00D6E8F7"/>
      </patternFill>
    </fill>
    <fill>
      <patternFill patternType="solid">
        <fgColor rgb="00C87520"/>
      </patternFill>
    </fill>
    <fill>
      <patternFill patternType="solid">
        <fgColor rgb="00FFF3CD"/>
      </patternFill>
    </fill>
    <fill>
      <patternFill patternType="solid">
        <fgColor rgb="001D7A4A"/>
      </patternFill>
    </fill>
    <fill>
      <patternFill patternType="solid">
        <fgColor rgb="00A83232"/>
      </patternFill>
    </fill>
    <fill>
      <patternFill patternType="solid">
        <fgColor rgb="00FADADD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" fontId="12" fillId="0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4" fontId="13" fillId="0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2" fontId="15" fillId="0" borderId="2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3" fillId="2" borderId="2" pivotButton="0" quotePrefix="0" xfId="0"/>
    <xf numFmtId="0" fontId="0" fillId="2" borderId="0" pivotButton="0" quotePrefix="0" xfId="0"/>
    <xf numFmtId="4" fontId="10" fillId="9" borderId="2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left" vertical="center" wrapText="1"/>
    </xf>
    <xf numFmtId="2" fontId="10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23" fillId="13" borderId="1" applyAlignment="1" pivotButton="0" quotePrefix="0" xfId="0">
      <alignment horizontal="center" vertical="center" wrapText="1"/>
    </xf>
    <xf numFmtId="3" fontId="21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24" fillId="12" borderId="1" applyAlignment="1" pivotButton="0" quotePrefix="0" xfId="0">
      <alignment horizontal="center" vertical="center" wrapText="1"/>
    </xf>
    <xf numFmtId="3" fontId="10" fillId="9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P&amp;L профиль кондора при экспирации</a:t>
            </a:r>
          </a:p>
        </rich>
      </tx>
    </title>
    <plotArea>
      <lineChart>
        <grouping val="standard"/>
        <ser>
          <idx val="0"/>
          <order val="0"/>
          <tx>
            <strRef>
              <f>'Калькулятор'!C12</f>
            </strRef>
          </tx>
          <spPr>
            <a:ln xmlns:a="http://schemas.openxmlformats.org/drawingml/2006/main" w="20000">
              <a:solidFill>
                <a:srgbClr val="0A7A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'Калькулятор'!$B$13:$B$39</f>
            </numRef>
          </cat>
          <val>
            <numRef>
              <f>'Калькулятор'!$C$13:$C$39</f>
            </numRef>
          </val>
        </ser>
        <ser>
          <idx val="1"/>
          <order val="1"/>
          <tx>
            <strRef>
              <f>'Калькулятор'!E12</f>
            </strRef>
          </tx>
          <spPr>
            <a:ln xmlns:a="http://schemas.openxmlformats.org/drawingml/2006/main" w="20000">
              <a:solidFill>
                <a:srgbClr val="C8752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'Калькулятор'!$B$13:$B$39</f>
            </numRef>
          </cat>
          <val>
            <numRef>
              <f>'Калькулятор'!$E$13:$E$39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Цена SBER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(руб.)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Кумулятивный P&amp;L по циклам</a:t>
            </a:r>
          </a:p>
        </rich>
      </tx>
    </title>
    <plotArea>
      <lineChart>
        <grouping val="standard"/>
        <ser>
          <idx val="0"/>
          <order val="0"/>
          <tx>
            <strRef>
              <f>'Циклы'!L2</f>
            </strRef>
          </tx>
          <spPr>
            <a:ln xmlns:a="http://schemas.openxmlformats.org/drawingml/2006/main" w="25000">
              <a:solidFill>
                <a:srgbClr val="1D7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'Циклы'!$L$3:$L$13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Цикл №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P&amp;L (руб.)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A1F2E"/>
    <outlinePr summaryBelow="1" summaryRight="1"/>
    <pageSetUpPr/>
  </sheetPr>
  <dimension ref="B2:G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  <col width="16" customWidth="1" min="7" max="7"/>
    <col width="2" customWidth="1" min="8" max="8"/>
  </cols>
  <sheetData>
    <row r="1" ht="20" customHeight="1"/>
    <row r="2" ht="20" customHeight="1">
      <c r="B2" s="1" t="inlineStr">
        <is>
          <t>⚡  ГИБРИДНЫЙ КОНДОР v2 — ТОРГОВЫЙ ДАШБОРД</t>
        </is>
      </c>
    </row>
    <row r="3" ht="20" customHeight="1">
      <c r="B3" s="2" t="inlineStr">
        <is>
          <t>SBER | BUY PUT 305 / SELL PUT 315 / BUY CALL 320 / SELL CALL 330 + Акции SBER</t>
        </is>
      </c>
    </row>
    <row r="4" ht="20" customHeight="1"/>
    <row r="5" ht="20" customHeight="1">
      <c r="B5" s="3" t="inlineStr">
        <is>
          <t>📋  ТЕКУЩАЯ ПОЗИЦИЯ</t>
        </is>
      </c>
      <c r="D5" s="4" t="inlineStr">
        <is>
          <t>📊  РЫНОЧНЫЕ ДАННЫЕ (вводить вручную каждый день)</t>
        </is>
      </c>
    </row>
    <row r="6" ht="20" customHeight="1">
      <c r="B6" s="5" t="inlineStr">
        <is>
          <t>BUY PUT страйк</t>
        </is>
      </c>
      <c r="C6" s="6" t="n">
        <v>305</v>
      </c>
      <c r="D6" s="7" t="inlineStr">
        <is>
          <t>Дата</t>
        </is>
      </c>
      <c r="E6" s="8">
        <f>СЕГОДНЯ()</f>
        <v/>
      </c>
      <c r="F6" s="9" t="inlineStr">
        <is>
          <t>Авто</t>
        </is>
      </c>
    </row>
    <row r="7" ht="20" customHeight="1">
      <c r="B7" s="5" t="inlineStr">
        <is>
          <t>SELL PUT страйк</t>
        </is>
      </c>
      <c r="C7" s="6" t="n">
        <v>315</v>
      </c>
      <c r="D7" s="7" t="inlineStr">
        <is>
          <t>Close</t>
        </is>
      </c>
      <c r="E7" s="10" t="n">
        <v>317.2</v>
      </c>
      <c r="F7" s="9" t="inlineStr">
        <is>
          <t>Цена закрытия акции SBER</t>
        </is>
      </c>
    </row>
    <row r="8" ht="20" customHeight="1">
      <c r="B8" s="5" t="inlineStr">
        <is>
          <t>BUY CALL страйк</t>
        </is>
      </c>
      <c r="C8" s="6" t="n">
        <v>320</v>
      </c>
      <c r="D8" s="7" t="inlineStr">
        <is>
          <t>High</t>
        </is>
      </c>
      <c r="E8" s="10" t="n">
        <v>319.85</v>
      </c>
      <c r="F8" s="9" t="inlineStr">
        <is>
          <t>Максимум дня акции SBER</t>
        </is>
      </c>
    </row>
    <row r="9" ht="20" customHeight="1">
      <c r="B9" s="5" t="inlineStr">
        <is>
          <t>SELL CALL страйк</t>
        </is>
      </c>
      <c r="C9" s="6" t="n">
        <v>330</v>
      </c>
      <c r="D9" s="7" t="inlineStr">
        <is>
          <t>Low</t>
        </is>
      </c>
      <c r="E9" s="10" t="n">
        <v>314.1</v>
      </c>
      <c r="F9" s="9" t="inlineStr">
        <is>
          <t>Минимум дня акции SBER</t>
        </is>
      </c>
    </row>
    <row r="10" ht="20" customHeight="1">
      <c r="B10" s="5" t="inlineStr">
        <is>
          <t>Акции (шт.)</t>
        </is>
      </c>
      <c r="C10" s="6" t="n">
        <v>1000</v>
      </c>
      <c r="D10" s="7" t="inlineStr">
        <is>
          <t>PrevClose</t>
        </is>
      </c>
      <c r="E10" s="10" t="n">
        <v>316.4</v>
      </c>
      <c r="F10" s="9" t="inlineStr">
        <is>
          <t>Закрытие вчера (акция SBER)</t>
        </is>
      </c>
    </row>
    <row r="11" ht="20" customHeight="1">
      <c r="B11" s="5" t="inlineStr">
        <is>
          <t>Цена входа акций</t>
        </is>
      </c>
      <c r="C11" s="6" t="n">
        <v>317.2</v>
      </c>
      <c r="D11" s="7" t="inlineStr">
        <is>
          <t>IV (%)</t>
        </is>
      </c>
      <c r="E11" s="10" t="n">
        <v>8.9</v>
      </c>
      <c r="F11" s="9" t="inlineStr">
        <is>
          <t>Implied Vol ATM-опцион (%)</t>
        </is>
      </c>
    </row>
    <row r="12" ht="20" customHeight="1">
      <c r="B12" s="5" t="inlineStr">
        <is>
          <t>Центр-страйк</t>
        </is>
      </c>
      <c r="C12" s="6" t="n">
        <v>317</v>
      </c>
    </row>
    <row r="13" ht="20" customHeight="1">
      <c r="B13" s="5" t="inlineStr">
        <is>
          <t>Дата экспирации</t>
        </is>
      </c>
      <c r="C13" s="6" t="inlineStr">
        <is>
          <t>09.05.2026</t>
        </is>
      </c>
    </row>
    <row r="14" ht="20" customHeight="1"/>
    <row r="15" ht="20" customHeight="1">
      <c r="B15" s="3" t="inlineStr">
        <is>
          <t>🔢  РАСЧЁТНЫЕ ПОКАЗАТЕЛИ (автоматически)</t>
        </is>
      </c>
    </row>
    <row r="16" ht="20" customHeight="1">
      <c r="B16" s="5" t="inlineStr">
        <is>
          <t>R = High − Low</t>
        </is>
      </c>
      <c r="C16" s="11">
        <f>E8-E9</f>
        <v/>
      </c>
      <c r="D16" s="12" t="inlineStr">
        <is>
          <t>РЕЖИМ РЫНКА</t>
        </is>
      </c>
      <c r="E16" s="13">
        <f>ЕСЛИ(И(C16&lt;6;ABS(C17)&lt;3;C18&lt;3);"🟢 ФЛЭТ",ЕСЛИ(ИЛИ(C16&gt;10;C17&gt;6);"🔴 ТРЕНД ВВЕРХ",ЕСЛИ(ИЛИ(C16&gt;10;C17&lt;-6);"🔴 ТРЕНД ВНИЗ";"🟡 НЕОПРЕД.")))</f>
        <v/>
      </c>
    </row>
    <row r="17" ht="20" customHeight="1">
      <c r="B17" s="5" t="inlineStr">
        <is>
          <t>Momentum</t>
        </is>
      </c>
      <c r="C17" s="11">
        <f>E7-E10</f>
        <v/>
      </c>
      <c r="D17" s="5" t="inlineStr">
        <is>
          <t>Продавать CALL?</t>
        </is>
      </c>
      <c r="E17" s="14">
        <f>ЕСЛИ(И(C16&lt;6;ABS(C17)&lt;3;C18&lt;3);"✅ ДА — продавать CALL 320";"❌ НЕТ — ждать")</f>
        <v/>
      </c>
    </row>
    <row r="18" ht="20" customHeight="1">
      <c r="B18" s="5" t="inlineStr">
        <is>
          <t>Δ (откл. от центра)</t>
        </is>
      </c>
      <c r="C18" s="11">
        <f>ABS(E7-C12)</f>
        <v/>
      </c>
      <c r="D18" s="5" t="inlineStr">
        <is>
          <t>Продавать PUT?</t>
        </is>
      </c>
      <c r="E18" s="14">
        <f>ЕСЛИ(И(C16&lt;6;C17&gt;-2;C18&lt;3);"✅ ДА — продавать PUT 315";"❌ НЕТ — ждать")</f>
        <v/>
      </c>
    </row>
    <row r="19" ht="20" customHeight="1"/>
    <row r="20" ht="20" customHeight="1">
      <c r="B20" s="15" t="inlineStr">
        <is>
          <t>⚡  ФАЗА 2 — ROLL ATM CALL (откуп 330 + продажа 315)</t>
        </is>
      </c>
    </row>
    <row r="21" ht="20" customHeight="1">
      <c r="B21" s="16" t="inlineStr">
        <is>
          <t>Флэт-дней (введи вручную)</t>
        </is>
      </c>
      <c r="C21" s="17" t="n">
        <v>0</v>
      </c>
      <c r="D21" s="5" t="inlineStr">
        <is>
          <t>Активировать Roll?</t>
        </is>
      </c>
      <c r="E21" s="14">
        <f>ЕСЛИ(C21&gt;=8;"🚀 АКТИВИРОВАТЬ ROLL: откуп 330, продажа 315";"⏳ Ждать ещё "&amp;(8-C21)&amp;" дней флэта")</f>
        <v/>
      </c>
    </row>
    <row r="22" ht="20" customHeight="1"/>
    <row r="23" ht="20" customHeight="1">
      <c r="B23" s="18" t="inlineStr">
        <is>
          <t>💰  P&amp;L ПОЗИЦИИ</t>
        </is>
      </c>
    </row>
    <row r="24" ht="20" customHeight="1">
      <c r="B24" s="5" t="inlineStr">
        <is>
          <t>Пр. CALL 320 (введи)</t>
        </is>
      </c>
      <c r="C24" s="19" t="n">
        <v>0</v>
      </c>
      <c r="D24" s="20" t="inlineStr">
        <is>
          <t>▶ Вводить премию от продажи каждой ноги</t>
        </is>
      </c>
    </row>
    <row r="25" ht="20" customHeight="1">
      <c r="B25" s="5" t="inlineStr">
        <is>
          <t>Пр. PUT 315 (введи)</t>
        </is>
      </c>
      <c r="C25" s="19" t="n">
        <v>0</v>
      </c>
    </row>
    <row r="26" ht="20" customHeight="1">
      <c r="B26" s="5" t="inlineStr">
        <is>
          <t>Пр. откуп CALL 330</t>
        </is>
      </c>
      <c r="C26" s="19" t="n">
        <v>0</v>
      </c>
    </row>
    <row r="27" ht="20" customHeight="1">
      <c r="B27" s="5" t="inlineStr">
        <is>
          <t>Пр. продажи CALL 315</t>
        </is>
      </c>
      <c r="C27" s="19" t="n">
        <v>0</v>
      </c>
    </row>
    <row r="28" ht="20" customHeight="1">
      <c r="B28" s="5" t="inlineStr">
        <is>
          <t>Пр. пут-спреда</t>
        </is>
      </c>
      <c r="C28" s="19" t="n">
        <v>0</v>
      </c>
    </row>
    <row r="29" ht="20" customHeight="1">
      <c r="B29" s="21" t="inlineStr">
        <is>
          <t>📊 ИТОГО P&amp;L (руб.)</t>
        </is>
      </c>
      <c r="C29" s="22">
        <f>СУММ(C24:C28)</f>
        <v/>
      </c>
      <c r="D29" s="23" t="inlineStr">
        <is>
          <t>P&amp;L %</t>
        </is>
      </c>
      <c r="E29" s="24">
        <f>ЕСЛИ(C11*C10&lt;&gt;0;C29/(C11*C10)*100;0)</f>
        <v/>
      </c>
    </row>
    <row r="30" ht="20" customHeight="1"/>
    <row r="31" ht="20" customHeight="1">
      <c r="B31" s="25" t="inlineStr">
        <is>
          <t>🚫  ЖЁСТКИЕ ЗАПРЕТЫ</t>
        </is>
      </c>
    </row>
    <row r="32" ht="20" customHeight="1">
      <c r="B32" s="26" t="inlineStr">
        <is>
          <t>❌ R &gt; 12 руб →</t>
        </is>
      </c>
      <c r="C32" s="27" t="inlineStr">
        <is>
          <t>НЕ ТОРГОВАТЬ сегодня</t>
        </is>
      </c>
    </row>
    <row r="33" ht="20" customHeight="1">
      <c r="B33" s="26" t="inlineStr">
        <is>
          <t>❌ После падения &gt; 10 руб →</t>
        </is>
      </c>
      <c r="C33" s="27" t="inlineStr">
        <is>
          <t>НЕ продавать PUT 2 дня</t>
        </is>
      </c>
    </row>
    <row r="34" ht="20" customHeight="1">
      <c r="B34" s="26" t="inlineStr">
        <is>
          <t>❌ После роста &gt; 10 руб →</t>
        </is>
      </c>
      <c r="C34" s="27" t="inlineStr">
        <is>
          <t>НЕ продавать CALL 1-2 дня</t>
        </is>
      </c>
    </row>
    <row r="35" ht="20" customHeight="1">
      <c r="B35" s="26" t="inlineStr">
        <is>
          <t>❌ Перед новостями →</t>
        </is>
      </c>
      <c r="C35" s="27" t="inlineStr">
        <is>
          <t>НЕ открывать новые позиции</t>
        </is>
      </c>
    </row>
    <row r="36" ht="20" customHeight="1">
      <c r="B36" s="26" t="inlineStr">
        <is>
          <t>❌ Цена у страйка →</t>
        </is>
      </c>
      <c r="C36" s="27" t="inlineStr">
        <is>
          <t>Частично закрыть позицию</t>
        </is>
      </c>
    </row>
    <row r="37" ht="20" customHeight="1"/>
    <row r="38" ht="20" customHeight="1">
      <c r="B38" s="4" t="inlineStr">
        <is>
          <t>📌  ТЕКУЩАЯ СТРАТЕГИЯ</t>
        </is>
      </c>
    </row>
    <row r="39" ht="20" customHeight="1">
      <c r="B39" s="28" t="inlineStr">
        <is>
          <t>РЕЖИМ</t>
        </is>
      </c>
      <c r="C39" s="29">
        <f>E16</f>
        <v/>
      </c>
    </row>
    <row r="40" ht="20" customHeight="1">
      <c r="B40" s="28" t="inlineStr">
        <is>
          <t>ФАЗА</t>
        </is>
      </c>
      <c r="C40" s="29">
        <f>ЕСЛИ(C21&gt;=8;"ФАЗА 2 (Roll)";"ФАЗА 1 (Кондор)")</f>
        <v/>
      </c>
    </row>
    <row r="41" ht="20" customHeight="1">
      <c r="B41" s="28" t="inlineStr">
        <is>
          <t>ДЕЙСТВИЕ CALL</t>
        </is>
      </c>
      <c r="C41" s="29">
        <f>E17</f>
        <v/>
      </c>
    </row>
    <row r="42" ht="20" customHeight="1">
      <c r="B42" s="28" t="inlineStr">
        <is>
          <t>ДЕЙСТВИЕ PUT</t>
        </is>
      </c>
      <c r="C42" s="29">
        <f>E18</f>
        <v/>
      </c>
    </row>
    <row r="43" ht="20" customHeight="1">
      <c r="B43" s="28" t="inlineStr">
        <is>
          <t>ROLL ATM</t>
        </is>
      </c>
      <c r="C43" s="29">
        <f>E21</f>
        <v/>
      </c>
    </row>
    <row r="44" ht="20" customHeight="1">
      <c r="B44" s="28" t="inlineStr">
        <is>
          <t>Выход при P&amp;L</t>
        </is>
      </c>
      <c r="C44" s="29" t="inlineStr">
        <is>
          <t>≥70% или за 2 дня до экспирации</t>
        </is>
      </c>
    </row>
    <row r="45" ht="20" customHeight="1"/>
    <row r="46" ht="20" customHeight="1">
      <c r="B46" s="30" t="inlineStr">
        <is>
          <t>ℹ️  Close/High/Low/PrevClose = ДНЕВНЫЕ цены акции SBER.  IV = имплайд-волатильность ATM-опциона на SBER.</t>
        </is>
      </c>
    </row>
    <row r="47" ht="20" customHeight="1"/>
    <row r="48" ht="20" customHeight="1">
      <c r="B48" s="31" t="inlineStr">
        <is>
          <t>🔘  КНОПКИ (подключить через Alt+F11 → Вставить модуль → вставить код с листа 'VBA_Макрос')</t>
        </is>
      </c>
    </row>
    <row r="49" ht="20" customHeight="1">
      <c r="B49" s="32" t="inlineStr">
        <is>
          <t>Кнопка «Обновить данные»</t>
        </is>
      </c>
      <c r="C49" s="33" t="inlineStr">
        <is>
          <t>Копирует текущие данные Дашборда в следующую строку Журнала</t>
        </is>
      </c>
    </row>
    <row r="50" ht="20" customHeight="1">
      <c r="B50" s="32" t="inlineStr">
        <is>
          <t>Кнопка «Записать P&amp;L»</t>
        </is>
      </c>
      <c r="C50" s="33" t="inlineStr">
        <is>
          <t>Дозаписывает P&amp;L из Дашборда в последнюю строку Журнала</t>
        </is>
      </c>
    </row>
    <row r="51" ht="20" customHeight="1">
      <c r="B51" s="32" t="inlineStr">
        <is>
          <t>Кнопка «Новый цикл»</t>
        </is>
      </c>
      <c r="C51" s="33" t="inlineStr">
        <is>
          <t>Фиксирует итог цикла в листе Циклы с накопительным P&amp;L</t>
        </is>
      </c>
    </row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31">
    <mergeCell ref="B2:G2"/>
    <mergeCell ref="C49:G49"/>
    <mergeCell ref="C34:G34"/>
    <mergeCell ref="C42:G42"/>
    <mergeCell ref="B23:G23"/>
    <mergeCell ref="C33:G33"/>
    <mergeCell ref="D5:G5"/>
    <mergeCell ref="B38:G38"/>
    <mergeCell ref="C35:G35"/>
    <mergeCell ref="C50:G50"/>
    <mergeCell ref="C44:G44"/>
    <mergeCell ref="C41:G41"/>
    <mergeCell ref="D24:G28"/>
    <mergeCell ref="C40:G40"/>
    <mergeCell ref="B15:G15"/>
    <mergeCell ref="E16:G16"/>
    <mergeCell ref="B20:G20"/>
    <mergeCell ref="C43:G43"/>
    <mergeCell ref="C51:G51"/>
    <mergeCell ref="E18:G18"/>
    <mergeCell ref="C36:G36"/>
    <mergeCell ref="E21:G21"/>
    <mergeCell ref="C39:G39"/>
    <mergeCell ref="B3:G3"/>
    <mergeCell ref="B46:G46"/>
    <mergeCell ref="C32:G32"/>
    <mergeCell ref="B5:C5"/>
    <mergeCell ref="B31:G31"/>
    <mergeCell ref="D5:E5"/>
    <mergeCell ref="E17:G17"/>
    <mergeCell ref="B48:G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7A8A"/>
    <outlinePr summaryBelow="1" summaryRight="1"/>
    <pageSetUpPr/>
  </sheetPr>
  <dimension ref="B1:P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8" customWidth="1" min="10" max="10"/>
    <col width="14" customWidth="1" min="11" max="11"/>
    <col width="14" customWidth="1" min="12" max="12"/>
    <col width="14" customWidth="1" min="13" max="13"/>
    <col width="10" customWidth="1" min="14" max="14"/>
    <col width="10" customWidth="1" min="15" max="15"/>
    <col width="10" customWidth="1" min="16" max="16"/>
    <col width="2" customWidth="1" min="17" max="17"/>
  </cols>
  <sheetData>
    <row r="1" ht="28" customHeight="1">
      <c r="B1" s="34" t="inlineStr">
        <is>
          <t>📒  ЕЖЕДНЕВНЫЙ ЖУРНАЛ ТОРГОВЛИ — SBER Гибридный Кондор v2</t>
        </is>
      </c>
    </row>
    <row r="2" ht="22" customHeight="1">
      <c r="B2" s="35" t="inlineStr">
        <is>
          <t>Дата</t>
        </is>
      </c>
      <c r="C2" s="36" t="inlineStr">
        <is>
          <t>РЫНОЧНЫЕ ДАННЫЕ (акция SBER)</t>
        </is>
      </c>
      <c r="H2" s="35" t="inlineStr">
        <is>
          <t>РАСЧЁТЫ</t>
        </is>
      </c>
      <c r="K2" s="37" t="inlineStr">
        <is>
          <t>РЕЖИМ</t>
        </is>
      </c>
      <c r="L2" s="38" t="inlineStr">
        <is>
          <t>СИГНАЛЫ</t>
        </is>
      </c>
      <c r="N2" s="39" t="inlineStr">
        <is>
          <t>P&amp;L (руб.)</t>
        </is>
      </c>
    </row>
    <row r="3" ht="30" customHeight="1">
      <c r="C3" s="40" t="inlineStr">
        <is>
          <t>Close</t>
        </is>
      </c>
      <c r="D3" s="40" t="inlineStr">
        <is>
          <t>High</t>
        </is>
      </c>
      <c r="E3" s="40" t="inlineStr">
        <is>
          <t>Low</t>
        </is>
      </c>
      <c r="F3" s="40" t="inlineStr">
        <is>
          <t>Prev
Close</t>
        </is>
      </c>
      <c r="G3" s="40" t="inlineStr">
        <is>
          <t>IV %</t>
        </is>
      </c>
      <c r="H3" s="40" t="inlineStr">
        <is>
          <t>R=H-L</t>
        </is>
      </c>
      <c r="I3" s="40" t="inlineStr">
        <is>
          <t>Momentum</t>
        </is>
      </c>
      <c r="J3" s="40" t="inlineStr">
        <is>
          <t>Δ центр</t>
        </is>
      </c>
      <c r="L3" s="40" t="inlineStr">
        <is>
          <t>CALL?</t>
        </is>
      </c>
      <c r="M3" s="40" t="inlineStr">
        <is>
          <t>PUT?</t>
        </is>
      </c>
      <c r="N3" s="40" t="inlineStr">
        <is>
          <t>Пр.CALL</t>
        </is>
      </c>
      <c r="O3" s="40" t="inlineStr">
        <is>
          <t>Пр.PUT</t>
        </is>
      </c>
      <c r="P3" s="40" t="inlineStr">
        <is>
          <t>Итого</t>
        </is>
      </c>
    </row>
    <row r="4" ht="18" customHeight="1">
      <c r="B4" s="41" t="inlineStr"/>
      <c r="C4" s="42" t="inlineStr"/>
      <c r="D4" s="42" t="inlineStr"/>
      <c r="E4" s="42" t="inlineStr"/>
      <c r="F4" s="42" t="inlineStr"/>
      <c r="G4" s="43" t="inlineStr"/>
      <c r="H4" s="44">
        <f>ЕСЛИ(ЕПУСТО(D4);"";D4-E4)</f>
        <v/>
      </c>
      <c r="I4" s="44">
        <f>ЕСЛИ(ЕПУСТО(C4);"";C4-F4)</f>
        <v/>
      </c>
      <c r="J4" s="44">
        <f>ЕСЛИ(ЕПУСТО(C4);"";ABS(C4-Дашборд!C12))</f>
        <v/>
      </c>
      <c r="K4" s="45">
        <f>ЕСЛИ(ЕПУСТО(C4);"";ЕСЛИ(И(H4&lt;6;ABS(I4)&lt;3;J4&lt;3);"ФЛЭТ";ЕСЛИ(ИЛИ(H4&gt;10;I4&gt;6);"ТРЕНД ▲";ЕСЛИ(ИЛИ(H4&gt;10;I4&lt;-6);"ТРЕНД ▼";"НЕОПРЕД."))))</f>
        <v/>
      </c>
      <c r="L4" s="45">
        <f>ЕСЛИ(ЕПУСТО(C4);"";ЕСЛИ(И(H4&lt;6;ABS(I4)&lt;3;J4&lt;3);"✅ ДА";"❌ НЕТ"))</f>
        <v/>
      </c>
      <c r="M4" s="45">
        <f>ЕСЛИ(ЕПУСТО(C4);"";ЕСЛИ(И(H4&lt;6;I4&gt;-2;J4&lt;3);"✅ ДА";"❌ НЕТ"))</f>
        <v/>
      </c>
      <c r="N4" s="46" t="inlineStr"/>
      <c r="O4" s="46" t="inlineStr"/>
      <c r="P4" s="47">
        <f>ЕСЛИ(И(ЕПУСТО(N4);ЕПУСТО(O4));0;СУММ(N4:O4))</f>
        <v/>
      </c>
    </row>
    <row r="5" ht="18" customHeight="1">
      <c r="B5" s="41" t="inlineStr"/>
      <c r="C5" s="48" t="inlineStr"/>
      <c r="D5" s="48" t="inlineStr"/>
      <c r="E5" s="48" t="inlineStr"/>
      <c r="F5" s="48" t="inlineStr"/>
      <c r="G5" s="49" t="inlineStr"/>
      <c r="H5" s="44">
        <f>ЕСЛИ(ЕПУСТО(D5);"";D5-E5)</f>
        <v/>
      </c>
      <c r="I5" s="44">
        <f>ЕСЛИ(ЕПУСТО(C5);"";C5-F5)</f>
        <v/>
      </c>
      <c r="J5" s="44">
        <f>ЕСЛИ(ЕПУСТО(C5);"";ABS(C5-Дашборд!C12))</f>
        <v/>
      </c>
      <c r="K5" s="45">
        <f>ЕСЛИ(ЕПУСТО(C5);"";ЕСЛИ(И(H5&lt;6;ABS(I5)&lt;3;J5&lt;3);"ФЛЭТ";ЕСЛИ(ИЛИ(H5&gt;10;I5&gt;6);"ТРЕНД ▲";ЕСЛИ(ИЛИ(H5&gt;10;I5&lt;-6);"ТРЕНД ▼";"НЕОПРЕД."))))</f>
        <v/>
      </c>
      <c r="L5" s="45">
        <f>ЕСЛИ(ЕПУСТО(C5);"";ЕСЛИ(И(H5&lt;6;ABS(I5)&lt;3;J5&lt;3);"✅ ДА";"❌ НЕТ"))</f>
        <v/>
      </c>
      <c r="M5" s="45">
        <f>ЕСЛИ(ЕПУСТО(C5);"";ЕСЛИ(И(H5&lt;6;I5&gt;-2;J5&lt;3);"✅ ДА";"❌ НЕТ"))</f>
        <v/>
      </c>
      <c r="N5" s="50" t="inlineStr"/>
      <c r="O5" s="50" t="inlineStr"/>
      <c r="P5" s="47">
        <f>ЕСЛИ(И(ЕПУСТО(N5);ЕПУСТО(O5));0;СУММ(N5:O5))</f>
        <v/>
      </c>
    </row>
    <row r="6" ht="18" customHeight="1">
      <c r="B6" s="41" t="inlineStr"/>
      <c r="C6" s="42" t="inlineStr"/>
      <c r="D6" s="42" t="inlineStr"/>
      <c r="E6" s="42" t="inlineStr"/>
      <c r="F6" s="42" t="inlineStr"/>
      <c r="G6" s="43" t="inlineStr"/>
      <c r="H6" s="44">
        <f>ЕСЛИ(ЕПУСТО(D6);"";D6-E6)</f>
        <v/>
      </c>
      <c r="I6" s="44">
        <f>ЕСЛИ(ЕПУСТО(C6);"";C6-F6)</f>
        <v/>
      </c>
      <c r="J6" s="44">
        <f>ЕСЛИ(ЕПУСТО(C6);"";ABS(C6-Дашборд!C12))</f>
        <v/>
      </c>
      <c r="K6" s="45">
        <f>ЕСЛИ(ЕПУСТО(C6);"";ЕСЛИ(И(H6&lt;6;ABS(I6)&lt;3;J6&lt;3);"ФЛЭТ";ЕСЛИ(ИЛИ(H6&gt;10;I6&gt;6);"ТРЕНД ▲";ЕСЛИ(ИЛИ(H6&gt;10;I6&lt;-6);"ТРЕНД ▼";"НЕОПРЕД."))))</f>
        <v/>
      </c>
      <c r="L6" s="45">
        <f>ЕСЛИ(ЕПУСТО(C6);"";ЕСЛИ(И(H6&lt;6;ABS(I6)&lt;3;J6&lt;3);"✅ ДА";"❌ НЕТ"))</f>
        <v/>
      </c>
      <c r="M6" s="45">
        <f>ЕСЛИ(ЕПУСТО(C6);"";ЕСЛИ(И(H6&lt;6;I6&gt;-2;J6&lt;3);"✅ ДА";"❌ НЕТ"))</f>
        <v/>
      </c>
      <c r="N6" s="46" t="inlineStr"/>
      <c r="O6" s="46" t="inlineStr"/>
      <c r="P6" s="47">
        <f>ЕСЛИ(И(ЕПУСТО(N6);ЕПУСТО(O6));0;СУММ(N6:O6))</f>
        <v/>
      </c>
    </row>
    <row r="7" ht="18" customHeight="1">
      <c r="B7" s="41" t="inlineStr"/>
      <c r="C7" s="48" t="inlineStr"/>
      <c r="D7" s="48" t="inlineStr"/>
      <c r="E7" s="48" t="inlineStr"/>
      <c r="F7" s="48" t="inlineStr"/>
      <c r="G7" s="49" t="inlineStr"/>
      <c r="H7" s="44">
        <f>ЕСЛИ(ЕПУСТО(D7);"";D7-E7)</f>
        <v/>
      </c>
      <c r="I7" s="44">
        <f>ЕСЛИ(ЕПУСТО(C7);"";C7-F7)</f>
        <v/>
      </c>
      <c r="J7" s="44">
        <f>ЕСЛИ(ЕПУСТО(C7);"";ABS(C7-Дашборд!C12))</f>
        <v/>
      </c>
      <c r="K7" s="45">
        <f>ЕСЛИ(ЕПУСТО(C7);"";ЕСЛИ(И(H7&lt;6;ABS(I7)&lt;3;J7&lt;3);"ФЛЭТ";ЕСЛИ(ИЛИ(H7&gt;10;I7&gt;6);"ТРЕНД ▲";ЕСЛИ(ИЛИ(H7&gt;10;I7&lt;-6);"ТРЕНД ▼";"НЕОПРЕД."))))</f>
        <v/>
      </c>
      <c r="L7" s="45">
        <f>ЕСЛИ(ЕПУСТО(C7);"";ЕСЛИ(И(H7&lt;6;ABS(I7)&lt;3;J7&lt;3);"✅ ДА";"❌ НЕТ"))</f>
        <v/>
      </c>
      <c r="M7" s="45">
        <f>ЕСЛИ(ЕПУСТО(C7);"";ЕСЛИ(И(H7&lt;6;I7&gt;-2;J7&lt;3);"✅ ДА";"❌ НЕТ"))</f>
        <v/>
      </c>
      <c r="N7" s="50" t="inlineStr"/>
      <c r="O7" s="50" t="inlineStr"/>
      <c r="P7" s="47">
        <f>ЕСЛИ(И(ЕПУСТО(N7);ЕПУСТО(O7));0;СУММ(N7:O7))</f>
        <v/>
      </c>
    </row>
    <row r="8" ht="18" customHeight="1">
      <c r="B8" s="41" t="inlineStr"/>
      <c r="C8" s="42" t="inlineStr"/>
      <c r="D8" s="42" t="inlineStr"/>
      <c r="E8" s="42" t="inlineStr"/>
      <c r="F8" s="42" t="inlineStr"/>
      <c r="G8" s="43" t="inlineStr"/>
      <c r="H8" s="44">
        <f>ЕСЛИ(ЕПУСТО(D8);"";D8-E8)</f>
        <v/>
      </c>
      <c r="I8" s="44">
        <f>ЕСЛИ(ЕПУСТО(C8);"";C8-F8)</f>
        <v/>
      </c>
      <c r="J8" s="44">
        <f>ЕСЛИ(ЕПУСТО(C8);"";ABS(C8-Дашборд!C12))</f>
        <v/>
      </c>
      <c r="K8" s="45">
        <f>ЕСЛИ(ЕПУСТО(C8);"";ЕСЛИ(И(H8&lt;6;ABS(I8)&lt;3;J8&lt;3);"ФЛЭТ";ЕСЛИ(ИЛИ(H8&gt;10;I8&gt;6);"ТРЕНД ▲";ЕСЛИ(ИЛИ(H8&gt;10;I8&lt;-6);"ТРЕНД ▼";"НЕОПРЕД."))))</f>
        <v/>
      </c>
      <c r="L8" s="45">
        <f>ЕСЛИ(ЕПУСТО(C8);"";ЕСЛИ(И(H8&lt;6;ABS(I8)&lt;3;J8&lt;3);"✅ ДА";"❌ НЕТ"))</f>
        <v/>
      </c>
      <c r="M8" s="45">
        <f>ЕСЛИ(ЕПУСТО(C8);"";ЕСЛИ(И(H8&lt;6;I8&gt;-2;J8&lt;3);"✅ ДА";"❌ НЕТ"))</f>
        <v/>
      </c>
      <c r="N8" s="46" t="inlineStr"/>
      <c r="O8" s="46" t="inlineStr"/>
      <c r="P8" s="47">
        <f>ЕСЛИ(И(ЕПУСТО(N8);ЕПУСТО(O8));0;СУММ(N8:O8))</f>
        <v/>
      </c>
    </row>
    <row r="9" ht="18" customHeight="1">
      <c r="B9" s="41" t="inlineStr"/>
      <c r="C9" s="48" t="inlineStr"/>
      <c r="D9" s="48" t="inlineStr"/>
      <c r="E9" s="48" t="inlineStr"/>
      <c r="F9" s="48" t="inlineStr"/>
      <c r="G9" s="49" t="inlineStr"/>
      <c r="H9" s="44">
        <f>ЕСЛИ(ЕПУСТО(D9);"";D9-E9)</f>
        <v/>
      </c>
      <c r="I9" s="44">
        <f>ЕСЛИ(ЕПУСТО(C9);"";C9-F9)</f>
        <v/>
      </c>
      <c r="J9" s="44">
        <f>ЕСЛИ(ЕПУСТО(C9);"";ABS(C9-Дашборд!C12))</f>
        <v/>
      </c>
      <c r="K9" s="45">
        <f>ЕСЛИ(ЕПУСТО(C9);"";ЕСЛИ(И(H9&lt;6;ABS(I9)&lt;3;J9&lt;3);"ФЛЭТ";ЕСЛИ(ИЛИ(H9&gt;10;I9&gt;6);"ТРЕНД ▲";ЕСЛИ(ИЛИ(H9&gt;10;I9&lt;-6);"ТРЕНД ▼";"НЕОПРЕД."))))</f>
        <v/>
      </c>
      <c r="L9" s="45">
        <f>ЕСЛИ(ЕПУСТО(C9);"";ЕСЛИ(И(H9&lt;6;ABS(I9)&lt;3;J9&lt;3);"✅ ДА";"❌ НЕТ"))</f>
        <v/>
      </c>
      <c r="M9" s="45">
        <f>ЕСЛИ(ЕПУСТО(C9);"";ЕСЛИ(И(H9&lt;6;I9&gt;-2;J9&lt;3);"✅ ДА";"❌ НЕТ"))</f>
        <v/>
      </c>
      <c r="N9" s="50" t="inlineStr"/>
      <c r="O9" s="50" t="inlineStr"/>
      <c r="P9" s="47">
        <f>ЕСЛИ(И(ЕПУСТО(N9);ЕПУСТО(O9));0;СУММ(N9:O9))</f>
        <v/>
      </c>
    </row>
    <row r="10" ht="18" customHeight="1">
      <c r="B10" s="41" t="inlineStr"/>
      <c r="C10" s="42" t="inlineStr"/>
      <c r="D10" s="42" t="inlineStr"/>
      <c r="E10" s="42" t="inlineStr"/>
      <c r="F10" s="42" t="inlineStr"/>
      <c r="G10" s="43" t="inlineStr"/>
      <c r="H10" s="44">
        <f>ЕСЛИ(ЕПУСТО(D10);"";D10-E10)</f>
        <v/>
      </c>
      <c r="I10" s="44">
        <f>ЕСЛИ(ЕПУСТО(C10);"";C10-F10)</f>
        <v/>
      </c>
      <c r="J10" s="44">
        <f>ЕСЛИ(ЕПУСТО(C10);"";ABS(C10-Дашборд!C12))</f>
        <v/>
      </c>
      <c r="K10" s="45">
        <f>ЕСЛИ(ЕПУСТО(C10);"";ЕСЛИ(И(H10&lt;6;ABS(I10)&lt;3;J10&lt;3);"ФЛЭТ";ЕСЛИ(ИЛИ(H10&gt;10;I10&gt;6);"ТРЕНД ▲";ЕСЛИ(ИЛИ(H10&gt;10;I10&lt;-6);"ТРЕНД ▼";"НЕОПРЕД."))))</f>
        <v/>
      </c>
      <c r="L10" s="45">
        <f>ЕСЛИ(ЕПУСТО(C10);"";ЕСЛИ(И(H10&lt;6;ABS(I10)&lt;3;J10&lt;3);"✅ ДА";"❌ НЕТ"))</f>
        <v/>
      </c>
      <c r="M10" s="45">
        <f>ЕСЛИ(ЕПУСТО(C10);"";ЕСЛИ(И(H10&lt;6;I10&gt;-2;J10&lt;3);"✅ ДА";"❌ НЕТ"))</f>
        <v/>
      </c>
      <c r="N10" s="46" t="inlineStr"/>
      <c r="O10" s="46" t="inlineStr"/>
      <c r="P10" s="47">
        <f>ЕСЛИ(И(ЕПУСТО(N10);ЕПУСТО(O10));0;СУММ(N10:O10))</f>
        <v/>
      </c>
    </row>
    <row r="11" ht="18" customHeight="1">
      <c r="B11" s="41" t="inlineStr"/>
      <c r="C11" s="48" t="inlineStr"/>
      <c r="D11" s="48" t="inlineStr"/>
      <c r="E11" s="48" t="inlineStr"/>
      <c r="F11" s="48" t="inlineStr"/>
      <c r="G11" s="49" t="inlineStr"/>
      <c r="H11" s="44">
        <f>ЕСЛИ(ЕПУСТО(D11);"";D11-E11)</f>
        <v/>
      </c>
      <c r="I11" s="44">
        <f>ЕСЛИ(ЕПУСТО(C11);"";C11-F11)</f>
        <v/>
      </c>
      <c r="J11" s="44">
        <f>ЕСЛИ(ЕПУСТО(C11);"";ABS(C11-Дашборд!C12))</f>
        <v/>
      </c>
      <c r="K11" s="45">
        <f>ЕСЛИ(ЕПУСТО(C11);"";ЕСЛИ(И(H11&lt;6;ABS(I11)&lt;3;J11&lt;3);"ФЛЭТ";ЕСЛИ(ИЛИ(H11&gt;10;I11&gt;6);"ТРЕНД ▲";ЕСЛИ(ИЛИ(H11&gt;10;I11&lt;-6);"ТРЕНД ▼";"НЕОПРЕД."))))</f>
        <v/>
      </c>
      <c r="L11" s="45">
        <f>ЕСЛИ(ЕПУСТО(C11);"";ЕСЛИ(И(H11&lt;6;ABS(I11)&lt;3;J11&lt;3);"✅ ДА";"❌ НЕТ"))</f>
        <v/>
      </c>
      <c r="M11" s="45">
        <f>ЕСЛИ(ЕПУСТО(C11);"";ЕСЛИ(И(H11&lt;6;I11&gt;-2;J11&lt;3);"✅ ДА";"❌ НЕТ"))</f>
        <v/>
      </c>
      <c r="N11" s="50" t="inlineStr"/>
      <c r="O11" s="50" t="inlineStr"/>
      <c r="P11" s="47">
        <f>ЕСЛИ(И(ЕПУСТО(N11);ЕПУСТО(O11));0;СУММ(N11:O11))</f>
        <v/>
      </c>
    </row>
    <row r="12" ht="18" customHeight="1">
      <c r="B12" s="41" t="inlineStr"/>
      <c r="C12" s="42" t="inlineStr"/>
      <c r="D12" s="42" t="inlineStr"/>
      <c r="E12" s="42" t="inlineStr"/>
      <c r="F12" s="42" t="inlineStr"/>
      <c r="G12" s="43" t="inlineStr"/>
      <c r="H12" s="44">
        <f>ЕСЛИ(ЕПУСТО(D12);"";D12-E12)</f>
        <v/>
      </c>
      <c r="I12" s="44">
        <f>ЕСЛИ(ЕПУСТО(C12);"";C12-F12)</f>
        <v/>
      </c>
      <c r="J12" s="44">
        <f>ЕСЛИ(ЕПУСТО(C12);"";ABS(C12-Дашборд!C12))</f>
        <v/>
      </c>
      <c r="K12" s="45">
        <f>ЕСЛИ(ЕПУСТО(C12);"";ЕСЛИ(И(H12&lt;6;ABS(I12)&lt;3;J12&lt;3);"ФЛЭТ";ЕСЛИ(ИЛИ(H12&gt;10;I12&gt;6);"ТРЕНД ▲";ЕСЛИ(ИЛИ(H12&gt;10;I12&lt;-6);"ТРЕНД ▼";"НЕОПРЕД."))))</f>
        <v/>
      </c>
      <c r="L12" s="45">
        <f>ЕСЛИ(ЕПУСТО(C12);"";ЕСЛИ(И(H12&lt;6;ABS(I12)&lt;3;J12&lt;3);"✅ ДА";"❌ НЕТ"))</f>
        <v/>
      </c>
      <c r="M12" s="45">
        <f>ЕСЛИ(ЕПУСТО(C12);"";ЕСЛИ(И(H12&lt;6;I12&gt;-2;J12&lt;3);"✅ ДА";"❌ НЕТ"))</f>
        <v/>
      </c>
      <c r="N12" s="46" t="inlineStr"/>
      <c r="O12" s="46" t="inlineStr"/>
      <c r="P12" s="47">
        <f>ЕСЛИ(И(ЕПУСТО(N12);ЕПУСТО(O12));0;СУММ(N12:O12))</f>
        <v/>
      </c>
    </row>
    <row r="13" ht="18" customHeight="1">
      <c r="B13" s="41" t="inlineStr"/>
      <c r="C13" s="48" t="inlineStr"/>
      <c r="D13" s="48" t="inlineStr"/>
      <c r="E13" s="48" t="inlineStr"/>
      <c r="F13" s="48" t="inlineStr"/>
      <c r="G13" s="49" t="inlineStr"/>
      <c r="H13" s="44">
        <f>ЕСЛИ(ЕПУСТО(D13);"";D13-E13)</f>
        <v/>
      </c>
      <c r="I13" s="44">
        <f>ЕСЛИ(ЕПУСТО(C13);"";C13-F13)</f>
        <v/>
      </c>
      <c r="J13" s="44">
        <f>ЕСЛИ(ЕПУСТО(C13);"";ABS(C13-Дашборд!C12))</f>
        <v/>
      </c>
      <c r="K13" s="45">
        <f>ЕСЛИ(ЕПУСТО(C13);"";ЕСЛИ(И(H13&lt;6;ABS(I13)&lt;3;J13&lt;3);"ФЛЭТ";ЕСЛИ(ИЛИ(H13&gt;10;I13&gt;6);"ТРЕНД ▲";ЕСЛИ(ИЛИ(H13&gt;10;I13&lt;-6);"ТРЕНД ▼";"НЕОПРЕД."))))</f>
        <v/>
      </c>
      <c r="L13" s="45">
        <f>ЕСЛИ(ЕПУСТО(C13);"";ЕСЛИ(И(H13&lt;6;ABS(I13)&lt;3;J13&lt;3);"✅ ДА";"❌ НЕТ"))</f>
        <v/>
      </c>
      <c r="M13" s="45">
        <f>ЕСЛИ(ЕПУСТО(C13);"";ЕСЛИ(И(H13&lt;6;I13&gt;-2;J13&lt;3);"✅ ДА";"❌ НЕТ"))</f>
        <v/>
      </c>
      <c r="N13" s="50" t="inlineStr"/>
      <c r="O13" s="50" t="inlineStr"/>
      <c r="P13" s="47">
        <f>ЕСЛИ(И(ЕПУСТО(N13);ЕПУСТО(O13));0;СУММ(N13:O13))</f>
        <v/>
      </c>
    </row>
    <row r="14" ht="18" customHeight="1">
      <c r="B14" s="41" t="inlineStr"/>
      <c r="C14" s="42" t="inlineStr"/>
      <c r="D14" s="42" t="inlineStr"/>
      <c r="E14" s="42" t="inlineStr"/>
      <c r="F14" s="42" t="inlineStr"/>
      <c r="G14" s="43" t="inlineStr"/>
      <c r="H14" s="44">
        <f>ЕСЛИ(ЕПУСТО(D14);"";D14-E14)</f>
        <v/>
      </c>
      <c r="I14" s="44">
        <f>ЕСЛИ(ЕПУСТО(C14);"";C14-F14)</f>
        <v/>
      </c>
      <c r="J14" s="44">
        <f>ЕСЛИ(ЕПУСТО(C14);"";ABS(C14-Дашборд!C12))</f>
        <v/>
      </c>
      <c r="K14" s="45">
        <f>ЕСЛИ(ЕПУСТО(C14);"";ЕСЛИ(И(H14&lt;6;ABS(I14)&lt;3;J14&lt;3);"ФЛЭТ";ЕСЛИ(ИЛИ(H14&gt;10;I14&gt;6);"ТРЕНД ▲";ЕСЛИ(ИЛИ(H14&gt;10;I14&lt;-6);"ТРЕНД ▼";"НЕОПРЕД."))))</f>
        <v/>
      </c>
      <c r="L14" s="45">
        <f>ЕСЛИ(ЕПУСТО(C14);"";ЕСЛИ(И(H14&lt;6;ABS(I14)&lt;3;J14&lt;3);"✅ ДА";"❌ НЕТ"))</f>
        <v/>
      </c>
      <c r="M14" s="45">
        <f>ЕСЛИ(ЕПУСТО(C14);"";ЕСЛИ(И(H14&lt;6;I14&gt;-2;J14&lt;3);"✅ ДА";"❌ НЕТ"))</f>
        <v/>
      </c>
      <c r="N14" s="46" t="inlineStr"/>
      <c r="O14" s="46" t="inlineStr"/>
      <c r="P14" s="47">
        <f>ЕСЛИ(И(ЕПУСТО(N14);ЕПУСТО(O14));0;СУММ(N14:O14))</f>
        <v/>
      </c>
    </row>
    <row r="15" ht="18" customHeight="1">
      <c r="B15" s="41" t="inlineStr"/>
      <c r="C15" s="48" t="inlineStr"/>
      <c r="D15" s="48" t="inlineStr"/>
      <c r="E15" s="48" t="inlineStr"/>
      <c r="F15" s="48" t="inlineStr"/>
      <c r="G15" s="49" t="inlineStr"/>
      <c r="H15" s="44">
        <f>ЕСЛИ(ЕПУСТО(D15);"";D15-E15)</f>
        <v/>
      </c>
      <c r="I15" s="44">
        <f>ЕСЛИ(ЕПУСТО(C15);"";C15-F15)</f>
        <v/>
      </c>
      <c r="J15" s="44">
        <f>ЕСЛИ(ЕПУСТО(C15);"";ABS(C15-Дашборд!C12))</f>
        <v/>
      </c>
      <c r="K15" s="45">
        <f>ЕСЛИ(ЕПУСТО(C15);"";ЕСЛИ(И(H15&lt;6;ABS(I15)&lt;3;J15&lt;3);"ФЛЭТ";ЕСЛИ(ИЛИ(H15&gt;10;I15&gt;6);"ТРЕНД ▲";ЕСЛИ(ИЛИ(H15&gt;10;I15&lt;-6);"ТРЕНД ▼";"НЕОПРЕД."))))</f>
        <v/>
      </c>
      <c r="L15" s="45">
        <f>ЕСЛИ(ЕПУСТО(C15);"";ЕСЛИ(И(H15&lt;6;ABS(I15)&lt;3;J15&lt;3);"✅ ДА";"❌ НЕТ"))</f>
        <v/>
      </c>
      <c r="M15" s="45">
        <f>ЕСЛИ(ЕПУСТО(C15);"";ЕСЛИ(И(H15&lt;6;I15&gt;-2;J15&lt;3);"✅ ДА";"❌ НЕТ"))</f>
        <v/>
      </c>
      <c r="N15" s="50" t="inlineStr"/>
      <c r="O15" s="50" t="inlineStr"/>
      <c r="P15" s="47">
        <f>ЕСЛИ(И(ЕПУСТО(N15);ЕПУСТО(O15));0;СУММ(N15:O15))</f>
        <v/>
      </c>
    </row>
    <row r="16" ht="18" customHeight="1">
      <c r="B16" s="41" t="inlineStr"/>
      <c r="C16" s="42" t="inlineStr"/>
      <c r="D16" s="42" t="inlineStr"/>
      <c r="E16" s="42" t="inlineStr"/>
      <c r="F16" s="42" t="inlineStr"/>
      <c r="G16" s="43" t="inlineStr"/>
      <c r="H16" s="44">
        <f>ЕСЛИ(ЕПУСТО(D16);"";D16-E16)</f>
        <v/>
      </c>
      <c r="I16" s="44">
        <f>ЕСЛИ(ЕПУСТО(C16);"";C16-F16)</f>
        <v/>
      </c>
      <c r="J16" s="44">
        <f>ЕСЛИ(ЕПУСТО(C16);"";ABS(C16-Дашборд!C12))</f>
        <v/>
      </c>
      <c r="K16" s="45">
        <f>ЕСЛИ(ЕПУСТО(C16);"";ЕСЛИ(И(H16&lt;6;ABS(I16)&lt;3;J16&lt;3);"ФЛЭТ";ЕСЛИ(ИЛИ(H16&gt;10;I16&gt;6);"ТРЕНД ▲";ЕСЛИ(ИЛИ(H16&gt;10;I16&lt;-6);"ТРЕНД ▼";"НЕОПРЕД."))))</f>
        <v/>
      </c>
      <c r="L16" s="45">
        <f>ЕСЛИ(ЕПУСТО(C16);"";ЕСЛИ(И(H16&lt;6;ABS(I16)&lt;3;J16&lt;3);"✅ ДА";"❌ НЕТ"))</f>
        <v/>
      </c>
      <c r="M16" s="45">
        <f>ЕСЛИ(ЕПУСТО(C16);"";ЕСЛИ(И(H16&lt;6;I16&gt;-2;J16&lt;3);"✅ ДА";"❌ НЕТ"))</f>
        <v/>
      </c>
      <c r="N16" s="46" t="inlineStr"/>
      <c r="O16" s="46" t="inlineStr"/>
      <c r="P16" s="47">
        <f>ЕСЛИ(И(ЕПУСТО(N16);ЕПУСТО(O16));0;СУММ(N16:O16))</f>
        <v/>
      </c>
    </row>
    <row r="17" ht="18" customHeight="1">
      <c r="B17" s="41" t="inlineStr"/>
      <c r="C17" s="48" t="inlineStr"/>
      <c r="D17" s="48" t="inlineStr"/>
      <c r="E17" s="48" t="inlineStr"/>
      <c r="F17" s="48" t="inlineStr"/>
      <c r="G17" s="49" t="inlineStr"/>
      <c r="H17" s="44">
        <f>ЕСЛИ(ЕПУСТО(D17);"";D17-E17)</f>
        <v/>
      </c>
      <c r="I17" s="44">
        <f>ЕСЛИ(ЕПУСТО(C17);"";C17-F17)</f>
        <v/>
      </c>
      <c r="J17" s="44">
        <f>ЕСЛИ(ЕПУСТО(C17);"";ABS(C17-Дашборд!C12))</f>
        <v/>
      </c>
      <c r="K17" s="45">
        <f>ЕСЛИ(ЕПУСТО(C17);"";ЕСЛИ(И(H17&lt;6;ABS(I17)&lt;3;J17&lt;3);"ФЛЭТ";ЕСЛИ(ИЛИ(H17&gt;10;I17&gt;6);"ТРЕНД ▲";ЕСЛИ(ИЛИ(H17&gt;10;I17&lt;-6);"ТРЕНД ▼";"НЕОПРЕД."))))</f>
        <v/>
      </c>
      <c r="L17" s="45">
        <f>ЕСЛИ(ЕПУСТО(C17);"";ЕСЛИ(И(H17&lt;6;ABS(I17)&lt;3;J17&lt;3);"✅ ДА";"❌ НЕТ"))</f>
        <v/>
      </c>
      <c r="M17" s="45">
        <f>ЕСЛИ(ЕПУСТО(C17);"";ЕСЛИ(И(H17&lt;6;I17&gt;-2;J17&lt;3);"✅ ДА";"❌ НЕТ"))</f>
        <v/>
      </c>
      <c r="N17" s="50" t="inlineStr"/>
      <c r="O17" s="50" t="inlineStr"/>
      <c r="P17" s="47">
        <f>ЕСЛИ(И(ЕПУСТО(N17);ЕПУСТО(O17));0;СУММ(N17:O17))</f>
        <v/>
      </c>
    </row>
    <row r="18" ht="18" customHeight="1">
      <c r="B18" s="41" t="inlineStr"/>
      <c r="C18" s="42" t="inlineStr"/>
      <c r="D18" s="42" t="inlineStr"/>
      <c r="E18" s="42" t="inlineStr"/>
      <c r="F18" s="42" t="inlineStr"/>
      <c r="G18" s="43" t="inlineStr"/>
      <c r="H18" s="44">
        <f>ЕСЛИ(ЕПУСТО(D18);"";D18-E18)</f>
        <v/>
      </c>
      <c r="I18" s="44">
        <f>ЕСЛИ(ЕПУСТО(C18);"";C18-F18)</f>
        <v/>
      </c>
      <c r="J18" s="44">
        <f>ЕСЛИ(ЕПУСТО(C18);"";ABS(C18-Дашборд!C12))</f>
        <v/>
      </c>
      <c r="K18" s="45">
        <f>ЕСЛИ(ЕПУСТО(C18);"";ЕСЛИ(И(H18&lt;6;ABS(I18)&lt;3;J18&lt;3);"ФЛЭТ";ЕСЛИ(ИЛИ(H18&gt;10;I18&gt;6);"ТРЕНД ▲";ЕСЛИ(ИЛИ(H18&gt;10;I18&lt;-6);"ТРЕНД ▼";"НЕОПРЕД."))))</f>
        <v/>
      </c>
      <c r="L18" s="45">
        <f>ЕСЛИ(ЕПУСТО(C18);"";ЕСЛИ(И(H18&lt;6;ABS(I18)&lt;3;J18&lt;3);"✅ ДА";"❌ НЕТ"))</f>
        <v/>
      </c>
      <c r="M18" s="45">
        <f>ЕСЛИ(ЕПУСТО(C18);"";ЕСЛИ(И(H18&lt;6;I18&gt;-2;J18&lt;3);"✅ ДА";"❌ НЕТ"))</f>
        <v/>
      </c>
      <c r="N18" s="46" t="inlineStr"/>
      <c r="O18" s="46" t="inlineStr"/>
      <c r="P18" s="47">
        <f>ЕСЛИ(И(ЕПУСТО(N18);ЕПУСТО(O18));0;СУММ(N18:O18))</f>
        <v/>
      </c>
    </row>
    <row r="19" ht="18" customHeight="1">
      <c r="B19" s="41" t="inlineStr"/>
      <c r="C19" s="48" t="inlineStr"/>
      <c r="D19" s="48" t="inlineStr"/>
      <c r="E19" s="48" t="inlineStr"/>
      <c r="F19" s="48" t="inlineStr"/>
      <c r="G19" s="49" t="inlineStr"/>
      <c r="H19" s="44">
        <f>ЕСЛИ(ЕПУСТО(D19);"";D19-E19)</f>
        <v/>
      </c>
      <c r="I19" s="44">
        <f>ЕСЛИ(ЕПУСТО(C19);"";C19-F19)</f>
        <v/>
      </c>
      <c r="J19" s="44">
        <f>ЕСЛИ(ЕПУСТО(C19);"";ABS(C19-Дашборд!C12))</f>
        <v/>
      </c>
      <c r="K19" s="45">
        <f>ЕСЛИ(ЕПУСТО(C19);"";ЕСЛИ(И(H19&lt;6;ABS(I19)&lt;3;J19&lt;3);"ФЛЭТ";ЕСЛИ(ИЛИ(H19&gt;10;I19&gt;6);"ТРЕНД ▲";ЕСЛИ(ИЛИ(H19&gt;10;I19&lt;-6);"ТРЕНД ▼";"НЕОПРЕД."))))</f>
        <v/>
      </c>
      <c r="L19" s="45">
        <f>ЕСЛИ(ЕПУСТО(C19);"";ЕСЛИ(И(H19&lt;6;ABS(I19)&lt;3;J19&lt;3);"✅ ДА";"❌ НЕТ"))</f>
        <v/>
      </c>
      <c r="M19" s="45">
        <f>ЕСЛИ(ЕПУСТО(C19);"";ЕСЛИ(И(H19&lt;6;I19&gt;-2;J19&lt;3);"✅ ДА";"❌ НЕТ"))</f>
        <v/>
      </c>
      <c r="N19" s="50" t="inlineStr"/>
      <c r="O19" s="50" t="inlineStr"/>
      <c r="P19" s="47">
        <f>ЕСЛИ(И(ЕПУСТО(N19);ЕПУСТО(O19));0;СУММ(N19:O19))</f>
        <v/>
      </c>
    </row>
    <row r="20" ht="18" customHeight="1">
      <c r="B20" s="41" t="inlineStr"/>
      <c r="C20" s="42" t="inlineStr"/>
      <c r="D20" s="42" t="inlineStr"/>
      <c r="E20" s="42" t="inlineStr"/>
      <c r="F20" s="42" t="inlineStr"/>
      <c r="G20" s="43" t="inlineStr"/>
      <c r="H20" s="44">
        <f>ЕСЛИ(ЕПУСТО(D20);"";D20-E20)</f>
        <v/>
      </c>
      <c r="I20" s="44">
        <f>ЕСЛИ(ЕПУСТО(C20);"";C20-F20)</f>
        <v/>
      </c>
      <c r="J20" s="44">
        <f>ЕСЛИ(ЕПУСТО(C20);"";ABS(C20-Дашборд!C12))</f>
        <v/>
      </c>
      <c r="K20" s="45">
        <f>ЕСЛИ(ЕПУСТО(C20);"";ЕСЛИ(И(H20&lt;6;ABS(I20)&lt;3;J20&lt;3);"ФЛЭТ";ЕСЛИ(ИЛИ(H20&gt;10;I20&gt;6);"ТРЕНД ▲";ЕСЛИ(ИЛИ(H20&gt;10;I20&lt;-6);"ТРЕНД ▼";"НЕОПРЕД."))))</f>
        <v/>
      </c>
      <c r="L20" s="45">
        <f>ЕСЛИ(ЕПУСТО(C20);"";ЕСЛИ(И(H20&lt;6;ABS(I20)&lt;3;J20&lt;3);"✅ ДА";"❌ НЕТ"))</f>
        <v/>
      </c>
      <c r="M20" s="45">
        <f>ЕСЛИ(ЕПУСТО(C20);"";ЕСЛИ(И(H20&lt;6;I20&gt;-2;J20&lt;3);"✅ ДА";"❌ НЕТ"))</f>
        <v/>
      </c>
      <c r="N20" s="46" t="inlineStr"/>
      <c r="O20" s="46" t="inlineStr"/>
      <c r="P20" s="47">
        <f>ЕСЛИ(И(ЕПУСТО(N20);ЕПУСТО(O20));0;СУММ(N20:O20))</f>
        <v/>
      </c>
    </row>
    <row r="21" ht="18" customHeight="1">
      <c r="B21" s="41" t="inlineStr"/>
      <c r="C21" s="48" t="inlineStr"/>
      <c r="D21" s="48" t="inlineStr"/>
      <c r="E21" s="48" t="inlineStr"/>
      <c r="F21" s="48" t="inlineStr"/>
      <c r="G21" s="49" t="inlineStr"/>
      <c r="H21" s="44">
        <f>ЕСЛИ(ЕПУСТО(D21);"";D21-E21)</f>
        <v/>
      </c>
      <c r="I21" s="44">
        <f>ЕСЛИ(ЕПУСТО(C21);"";C21-F21)</f>
        <v/>
      </c>
      <c r="J21" s="44">
        <f>ЕСЛИ(ЕПУСТО(C21);"";ABS(C21-Дашборд!C12))</f>
        <v/>
      </c>
      <c r="K21" s="45">
        <f>ЕСЛИ(ЕПУСТО(C21);"";ЕСЛИ(И(H21&lt;6;ABS(I21)&lt;3;J21&lt;3);"ФЛЭТ";ЕСЛИ(ИЛИ(H21&gt;10;I21&gt;6);"ТРЕНД ▲";ЕСЛИ(ИЛИ(H21&gt;10;I21&lt;-6);"ТРЕНД ▼";"НЕОПРЕД."))))</f>
        <v/>
      </c>
      <c r="L21" s="45">
        <f>ЕСЛИ(ЕПУСТО(C21);"";ЕСЛИ(И(H21&lt;6;ABS(I21)&lt;3;J21&lt;3);"✅ ДА";"❌ НЕТ"))</f>
        <v/>
      </c>
      <c r="M21" s="45">
        <f>ЕСЛИ(ЕПУСТО(C21);"";ЕСЛИ(И(H21&lt;6;I21&gt;-2;J21&lt;3);"✅ ДА";"❌ НЕТ"))</f>
        <v/>
      </c>
      <c r="N21" s="50" t="inlineStr"/>
      <c r="O21" s="50" t="inlineStr"/>
      <c r="P21" s="47">
        <f>ЕСЛИ(И(ЕПУСТО(N21);ЕПУСТО(O21));0;СУММ(N21:O21))</f>
        <v/>
      </c>
    </row>
    <row r="22" ht="18" customHeight="1">
      <c r="B22" s="41" t="inlineStr"/>
      <c r="C22" s="42" t="inlineStr"/>
      <c r="D22" s="42" t="inlineStr"/>
      <c r="E22" s="42" t="inlineStr"/>
      <c r="F22" s="42" t="inlineStr"/>
      <c r="G22" s="43" t="inlineStr"/>
      <c r="H22" s="44">
        <f>ЕСЛИ(ЕПУСТО(D22);"";D22-E22)</f>
        <v/>
      </c>
      <c r="I22" s="44">
        <f>ЕСЛИ(ЕПУСТО(C22);"";C22-F22)</f>
        <v/>
      </c>
      <c r="J22" s="44">
        <f>ЕСЛИ(ЕПУСТО(C22);"";ABS(C22-Дашборд!C12))</f>
        <v/>
      </c>
      <c r="K22" s="45">
        <f>ЕСЛИ(ЕПУСТО(C22);"";ЕСЛИ(И(H22&lt;6;ABS(I22)&lt;3;J22&lt;3);"ФЛЭТ";ЕСЛИ(ИЛИ(H22&gt;10;I22&gt;6);"ТРЕНД ▲";ЕСЛИ(ИЛИ(H22&gt;10;I22&lt;-6);"ТРЕНД ▼";"НЕОПРЕД."))))</f>
        <v/>
      </c>
      <c r="L22" s="45">
        <f>ЕСЛИ(ЕПУСТО(C22);"";ЕСЛИ(И(H22&lt;6;ABS(I22)&lt;3;J22&lt;3);"✅ ДА";"❌ НЕТ"))</f>
        <v/>
      </c>
      <c r="M22" s="45">
        <f>ЕСЛИ(ЕПУСТО(C22);"";ЕСЛИ(И(H22&lt;6;I22&gt;-2;J22&lt;3);"✅ ДА";"❌ НЕТ"))</f>
        <v/>
      </c>
      <c r="N22" s="46" t="inlineStr"/>
      <c r="O22" s="46" t="inlineStr"/>
      <c r="P22" s="47">
        <f>ЕСЛИ(И(ЕПУСТО(N22);ЕПУСТО(O22));0;СУММ(N22:O22))</f>
        <v/>
      </c>
    </row>
    <row r="23" ht="18" customHeight="1">
      <c r="B23" s="41" t="inlineStr"/>
      <c r="C23" s="48" t="inlineStr"/>
      <c r="D23" s="48" t="inlineStr"/>
      <c r="E23" s="48" t="inlineStr"/>
      <c r="F23" s="48" t="inlineStr"/>
      <c r="G23" s="49" t="inlineStr"/>
      <c r="H23" s="44">
        <f>ЕСЛИ(ЕПУСТО(D23);"";D23-E23)</f>
        <v/>
      </c>
      <c r="I23" s="44">
        <f>ЕСЛИ(ЕПУСТО(C23);"";C23-F23)</f>
        <v/>
      </c>
      <c r="J23" s="44">
        <f>ЕСЛИ(ЕПУСТО(C23);"";ABS(C23-Дашборд!C12))</f>
        <v/>
      </c>
      <c r="K23" s="45">
        <f>ЕСЛИ(ЕПУСТО(C23);"";ЕСЛИ(И(H23&lt;6;ABS(I23)&lt;3;J23&lt;3);"ФЛЭТ";ЕСЛИ(ИЛИ(H23&gt;10;I23&gt;6);"ТРЕНД ▲";ЕСЛИ(ИЛИ(H23&gt;10;I23&lt;-6);"ТРЕНД ▼";"НЕОПРЕД."))))</f>
        <v/>
      </c>
      <c r="L23" s="45">
        <f>ЕСЛИ(ЕПУСТО(C23);"";ЕСЛИ(И(H23&lt;6;ABS(I23)&lt;3;J23&lt;3);"✅ ДА";"❌ НЕТ"))</f>
        <v/>
      </c>
      <c r="M23" s="45">
        <f>ЕСЛИ(ЕПУСТО(C23);"";ЕСЛИ(И(H23&lt;6;I23&gt;-2;J23&lt;3);"✅ ДА";"❌ НЕТ"))</f>
        <v/>
      </c>
      <c r="N23" s="50" t="inlineStr"/>
      <c r="O23" s="50" t="inlineStr"/>
      <c r="P23" s="47">
        <f>ЕСЛИ(И(ЕПУСТО(N23);ЕПУСТО(O23));0;СУММ(N23:O23))</f>
        <v/>
      </c>
    </row>
    <row r="24" ht="18" customHeight="1">
      <c r="B24" s="41" t="inlineStr"/>
      <c r="C24" s="42" t="inlineStr"/>
      <c r="D24" s="42" t="inlineStr"/>
      <c r="E24" s="42" t="inlineStr"/>
      <c r="F24" s="42" t="inlineStr"/>
      <c r="G24" s="43" t="inlineStr"/>
      <c r="H24" s="44">
        <f>ЕСЛИ(ЕПУСТО(D24);"";D24-E24)</f>
        <v/>
      </c>
      <c r="I24" s="44">
        <f>ЕСЛИ(ЕПУСТО(C24);"";C24-F24)</f>
        <v/>
      </c>
      <c r="J24" s="44">
        <f>ЕСЛИ(ЕПУСТО(C24);"";ABS(C24-Дашборд!C12))</f>
        <v/>
      </c>
      <c r="K24" s="45">
        <f>ЕСЛИ(ЕПУСТО(C24);"";ЕСЛИ(И(H24&lt;6;ABS(I24)&lt;3;J24&lt;3);"ФЛЭТ";ЕСЛИ(ИЛИ(H24&gt;10;I24&gt;6);"ТРЕНД ▲";ЕСЛИ(ИЛИ(H24&gt;10;I24&lt;-6);"ТРЕНД ▼";"НЕОПРЕД."))))</f>
        <v/>
      </c>
      <c r="L24" s="45">
        <f>ЕСЛИ(ЕПУСТО(C24);"";ЕСЛИ(И(H24&lt;6;ABS(I24)&lt;3;J24&lt;3);"✅ ДА";"❌ НЕТ"))</f>
        <v/>
      </c>
      <c r="M24" s="45">
        <f>ЕСЛИ(ЕПУСТО(C24);"";ЕСЛИ(И(H24&lt;6;I24&gt;-2;J24&lt;3);"✅ ДА";"❌ НЕТ"))</f>
        <v/>
      </c>
      <c r="N24" s="46" t="inlineStr"/>
      <c r="O24" s="46" t="inlineStr"/>
      <c r="P24" s="47">
        <f>ЕСЛИ(И(ЕПУСТО(N24);ЕПУСТО(O24));0;СУММ(N24:O24))</f>
        <v/>
      </c>
    </row>
    <row r="25" ht="18" customHeight="1">
      <c r="B25" s="41" t="inlineStr"/>
      <c r="C25" s="48" t="inlineStr"/>
      <c r="D25" s="48" t="inlineStr"/>
      <c r="E25" s="48" t="inlineStr"/>
      <c r="F25" s="48" t="inlineStr"/>
      <c r="G25" s="49" t="inlineStr"/>
      <c r="H25" s="44">
        <f>ЕСЛИ(ЕПУСТО(D25);"";D25-E25)</f>
        <v/>
      </c>
      <c r="I25" s="44">
        <f>ЕСЛИ(ЕПУСТО(C25);"";C25-F25)</f>
        <v/>
      </c>
      <c r="J25" s="44">
        <f>ЕСЛИ(ЕПУСТО(C25);"";ABS(C25-Дашборд!C12))</f>
        <v/>
      </c>
      <c r="K25" s="45">
        <f>ЕСЛИ(ЕПУСТО(C25);"";ЕСЛИ(И(H25&lt;6;ABS(I25)&lt;3;J25&lt;3);"ФЛЭТ";ЕСЛИ(ИЛИ(H25&gt;10;I25&gt;6);"ТРЕНД ▲";ЕСЛИ(ИЛИ(H25&gt;10;I25&lt;-6);"ТРЕНД ▼";"НЕОПРЕД."))))</f>
        <v/>
      </c>
      <c r="L25" s="45">
        <f>ЕСЛИ(ЕПУСТО(C25);"";ЕСЛИ(И(H25&lt;6;ABS(I25)&lt;3;J25&lt;3);"✅ ДА";"❌ НЕТ"))</f>
        <v/>
      </c>
      <c r="M25" s="45">
        <f>ЕСЛИ(ЕПУСТО(C25);"";ЕСЛИ(И(H25&lt;6;I25&gt;-2;J25&lt;3);"✅ ДА";"❌ НЕТ"))</f>
        <v/>
      </c>
      <c r="N25" s="50" t="inlineStr"/>
      <c r="O25" s="50" t="inlineStr"/>
      <c r="P25" s="47">
        <f>ЕСЛИ(И(ЕПУСТО(N25);ЕПУСТО(O25));0;СУММ(N25:O25))</f>
        <v/>
      </c>
    </row>
    <row r="26" ht="18" customHeight="1">
      <c r="B26" s="41" t="inlineStr"/>
      <c r="C26" s="42" t="inlineStr"/>
      <c r="D26" s="42" t="inlineStr"/>
      <c r="E26" s="42" t="inlineStr"/>
      <c r="F26" s="42" t="inlineStr"/>
      <c r="G26" s="43" t="inlineStr"/>
      <c r="H26" s="44">
        <f>ЕСЛИ(ЕПУСТО(D26);"";D26-E26)</f>
        <v/>
      </c>
      <c r="I26" s="44">
        <f>ЕСЛИ(ЕПУСТО(C26);"";C26-F26)</f>
        <v/>
      </c>
      <c r="J26" s="44">
        <f>ЕСЛИ(ЕПУСТО(C26);"";ABS(C26-Дашборд!C12))</f>
        <v/>
      </c>
      <c r="K26" s="45">
        <f>ЕСЛИ(ЕПУСТО(C26);"";ЕСЛИ(И(H26&lt;6;ABS(I26)&lt;3;J26&lt;3);"ФЛЭТ";ЕСЛИ(ИЛИ(H26&gt;10;I26&gt;6);"ТРЕНД ▲";ЕСЛИ(ИЛИ(H26&gt;10;I26&lt;-6);"ТРЕНД ▼";"НЕОПРЕД."))))</f>
        <v/>
      </c>
      <c r="L26" s="45">
        <f>ЕСЛИ(ЕПУСТО(C26);"";ЕСЛИ(И(H26&lt;6;ABS(I26)&lt;3;J26&lt;3);"✅ ДА";"❌ НЕТ"))</f>
        <v/>
      </c>
      <c r="M26" s="45">
        <f>ЕСЛИ(ЕПУСТО(C26);"";ЕСЛИ(И(H26&lt;6;I26&gt;-2;J26&lt;3);"✅ ДА";"❌ НЕТ"))</f>
        <v/>
      </c>
      <c r="N26" s="46" t="inlineStr"/>
      <c r="O26" s="46" t="inlineStr"/>
      <c r="P26" s="47">
        <f>ЕСЛИ(И(ЕПУСТО(N26);ЕПУСТО(O26));0;СУММ(N26:O26))</f>
        <v/>
      </c>
    </row>
    <row r="27" ht="18" customHeight="1">
      <c r="B27" s="41" t="inlineStr"/>
      <c r="C27" s="48" t="inlineStr"/>
      <c r="D27" s="48" t="inlineStr"/>
      <c r="E27" s="48" t="inlineStr"/>
      <c r="F27" s="48" t="inlineStr"/>
      <c r="G27" s="49" t="inlineStr"/>
      <c r="H27" s="44">
        <f>ЕСЛИ(ЕПУСТО(D27);"";D27-E27)</f>
        <v/>
      </c>
      <c r="I27" s="44">
        <f>ЕСЛИ(ЕПУСТО(C27);"";C27-F27)</f>
        <v/>
      </c>
      <c r="J27" s="44">
        <f>ЕСЛИ(ЕПУСТО(C27);"";ABS(C27-Дашборд!C12))</f>
        <v/>
      </c>
      <c r="K27" s="45">
        <f>ЕСЛИ(ЕПУСТО(C27);"";ЕСЛИ(И(H27&lt;6;ABS(I27)&lt;3;J27&lt;3);"ФЛЭТ";ЕСЛИ(ИЛИ(H27&gt;10;I27&gt;6);"ТРЕНД ▲";ЕСЛИ(ИЛИ(H27&gt;10;I27&lt;-6);"ТРЕНД ▼";"НЕОПРЕД."))))</f>
        <v/>
      </c>
      <c r="L27" s="45">
        <f>ЕСЛИ(ЕПУСТО(C27);"";ЕСЛИ(И(H27&lt;6;ABS(I27)&lt;3;J27&lt;3);"✅ ДА";"❌ НЕТ"))</f>
        <v/>
      </c>
      <c r="M27" s="45">
        <f>ЕСЛИ(ЕПУСТО(C27);"";ЕСЛИ(И(H27&lt;6;I27&gt;-2;J27&lt;3);"✅ ДА";"❌ НЕТ"))</f>
        <v/>
      </c>
      <c r="N27" s="50" t="inlineStr"/>
      <c r="O27" s="50" t="inlineStr"/>
      <c r="P27" s="47">
        <f>ЕСЛИ(И(ЕПУСТО(N27);ЕПУСТО(O27));0;СУММ(N27:O27))</f>
        <v/>
      </c>
    </row>
    <row r="28" ht="18" customHeight="1">
      <c r="B28" s="41" t="inlineStr"/>
      <c r="C28" s="42" t="inlineStr"/>
      <c r="D28" s="42" t="inlineStr"/>
      <c r="E28" s="42" t="inlineStr"/>
      <c r="F28" s="42" t="inlineStr"/>
      <c r="G28" s="43" t="inlineStr"/>
      <c r="H28" s="44">
        <f>ЕСЛИ(ЕПУСТО(D28);"";D28-E28)</f>
        <v/>
      </c>
      <c r="I28" s="44">
        <f>ЕСЛИ(ЕПУСТО(C28);"";C28-F28)</f>
        <v/>
      </c>
      <c r="J28" s="44">
        <f>ЕСЛИ(ЕПУСТО(C28);"";ABS(C28-Дашборд!C12))</f>
        <v/>
      </c>
      <c r="K28" s="45">
        <f>ЕСЛИ(ЕПУСТО(C28);"";ЕСЛИ(И(H28&lt;6;ABS(I28)&lt;3;J28&lt;3);"ФЛЭТ";ЕСЛИ(ИЛИ(H28&gt;10;I28&gt;6);"ТРЕНД ▲";ЕСЛИ(ИЛИ(H28&gt;10;I28&lt;-6);"ТРЕНД ▼";"НЕОПРЕД."))))</f>
        <v/>
      </c>
      <c r="L28" s="45">
        <f>ЕСЛИ(ЕПУСТО(C28);"";ЕСЛИ(И(H28&lt;6;ABS(I28)&lt;3;J28&lt;3);"✅ ДА";"❌ НЕТ"))</f>
        <v/>
      </c>
      <c r="M28" s="45">
        <f>ЕСЛИ(ЕПУСТО(C28);"";ЕСЛИ(И(H28&lt;6;I28&gt;-2;J28&lt;3);"✅ ДА";"❌ НЕТ"))</f>
        <v/>
      </c>
      <c r="N28" s="46" t="inlineStr"/>
      <c r="O28" s="46" t="inlineStr"/>
      <c r="P28" s="47">
        <f>ЕСЛИ(И(ЕПУСТО(N28);ЕПУСТО(O28));0;СУММ(N28:O28))</f>
        <v/>
      </c>
    </row>
    <row r="29" ht="18" customHeight="1">
      <c r="B29" s="41" t="inlineStr"/>
      <c r="C29" s="48" t="inlineStr"/>
      <c r="D29" s="48" t="inlineStr"/>
      <c r="E29" s="48" t="inlineStr"/>
      <c r="F29" s="48" t="inlineStr"/>
      <c r="G29" s="49" t="inlineStr"/>
      <c r="H29" s="44">
        <f>ЕСЛИ(ЕПУСТО(D29);"";D29-E29)</f>
        <v/>
      </c>
      <c r="I29" s="44">
        <f>ЕСЛИ(ЕПУСТО(C29);"";C29-F29)</f>
        <v/>
      </c>
      <c r="J29" s="44">
        <f>ЕСЛИ(ЕПУСТО(C29);"";ABS(C29-Дашборд!C12))</f>
        <v/>
      </c>
      <c r="K29" s="45">
        <f>ЕСЛИ(ЕПУСТО(C29);"";ЕСЛИ(И(H29&lt;6;ABS(I29)&lt;3;J29&lt;3);"ФЛЭТ";ЕСЛИ(ИЛИ(H29&gt;10;I29&gt;6);"ТРЕНД ▲";ЕСЛИ(ИЛИ(H29&gt;10;I29&lt;-6);"ТРЕНД ▼";"НЕОПРЕД."))))</f>
        <v/>
      </c>
      <c r="L29" s="45">
        <f>ЕСЛИ(ЕПУСТО(C29);"";ЕСЛИ(И(H29&lt;6;ABS(I29)&lt;3;J29&lt;3);"✅ ДА";"❌ НЕТ"))</f>
        <v/>
      </c>
      <c r="M29" s="45">
        <f>ЕСЛИ(ЕПУСТО(C29);"";ЕСЛИ(И(H29&lt;6;I29&gt;-2;J29&lt;3);"✅ ДА";"❌ НЕТ"))</f>
        <v/>
      </c>
      <c r="N29" s="50" t="inlineStr"/>
      <c r="O29" s="50" t="inlineStr"/>
      <c r="P29" s="47">
        <f>ЕСЛИ(И(ЕПУСТО(N29);ЕПУСТО(O29));0;СУММ(N29:O29))</f>
        <v/>
      </c>
    </row>
    <row r="30" ht="18" customHeight="1">
      <c r="B30" s="41" t="inlineStr"/>
      <c r="C30" s="42" t="inlineStr"/>
      <c r="D30" s="42" t="inlineStr"/>
      <c r="E30" s="42" t="inlineStr"/>
      <c r="F30" s="42" t="inlineStr"/>
      <c r="G30" s="43" t="inlineStr"/>
      <c r="H30" s="44">
        <f>ЕСЛИ(ЕПУСТО(D30);"";D30-E30)</f>
        <v/>
      </c>
      <c r="I30" s="44">
        <f>ЕСЛИ(ЕПУСТО(C30);"";C30-F30)</f>
        <v/>
      </c>
      <c r="J30" s="44">
        <f>ЕСЛИ(ЕПУСТО(C30);"";ABS(C30-Дашборд!C12))</f>
        <v/>
      </c>
      <c r="K30" s="45">
        <f>ЕСЛИ(ЕПУСТО(C30);"";ЕСЛИ(И(H30&lt;6;ABS(I30)&lt;3;J30&lt;3);"ФЛЭТ";ЕСЛИ(ИЛИ(H30&gt;10;I30&gt;6);"ТРЕНД ▲";ЕСЛИ(ИЛИ(H30&gt;10;I30&lt;-6);"ТРЕНД ▼";"НЕОПРЕД."))))</f>
        <v/>
      </c>
      <c r="L30" s="45">
        <f>ЕСЛИ(ЕПУСТО(C30);"";ЕСЛИ(И(H30&lt;6;ABS(I30)&lt;3;J30&lt;3);"✅ ДА";"❌ НЕТ"))</f>
        <v/>
      </c>
      <c r="M30" s="45">
        <f>ЕСЛИ(ЕПУСТО(C30);"";ЕСЛИ(И(H30&lt;6;I30&gt;-2;J30&lt;3);"✅ ДА";"❌ НЕТ"))</f>
        <v/>
      </c>
      <c r="N30" s="46" t="inlineStr"/>
      <c r="O30" s="46" t="inlineStr"/>
      <c r="P30" s="47">
        <f>ЕСЛИ(И(ЕПУСТО(N30);ЕПУСТО(O30));0;СУММ(N30:O30))</f>
        <v/>
      </c>
    </row>
    <row r="31" ht="18" customHeight="1">
      <c r="B31" s="41" t="inlineStr"/>
      <c r="C31" s="48" t="inlineStr"/>
      <c r="D31" s="48" t="inlineStr"/>
      <c r="E31" s="48" t="inlineStr"/>
      <c r="F31" s="48" t="inlineStr"/>
      <c r="G31" s="49" t="inlineStr"/>
      <c r="H31" s="44">
        <f>ЕСЛИ(ЕПУСТО(D31);"";D31-E31)</f>
        <v/>
      </c>
      <c r="I31" s="44">
        <f>ЕСЛИ(ЕПУСТО(C31);"";C31-F31)</f>
        <v/>
      </c>
      <c r="J31" s="44">
        <f>ЕСЛИ(ЕПУСТО(C31);"";ABS(C31-Дашборд!C12))</f>
        <v/>
      </c>
      <c r="K31" s="45">
        <f>ЕСЛИ(ЕПУСТО(C31);"";ЕСЛИ(И(H31&lt;6;ABS(I31)&lt;3;J31&lt;3);"ФЛЭТ";ЕСЛИ(ИЛИ(H31&gt;10;I31&gt;6);"ТРЕНД ▲";ЕСЛИ(ИЛИ(H31&gt;10;I31&lt;-6);"ТРЕНД ▼";"НЕОПРЕД."))))</f>
        <v/>
      </c>
      <c r="L31" s="45">
        <f>ЕСЛИ(ЕПУСТО(C31);"";ЕСЛИ(И(H31&lt;6;ABS(I31)&lt;3;J31&lt;3);"✅ ДА";"❌ НЕТ"))</f>
        <v/>
      </c>
      <c r="M31" s="45">
        <f>ЕСЛИ(ЕПУСТО(C31);"";ЕСЛИ(И(H31&lt;6;I31&gt;-2;J31&lt;3);"✅ ДА";"❌ НЕТ"))</f>
        <v/>
      </c>
      <c r="N31" s="50" t="inlineStr"/>
      <c r="O31" s="50" t="inlineStr"/>
      <c r="P31" s="47">
        <f>ЕСЛИ(И(ЕПУСТО(N31);ЕПУСТО(O31));0;СУММ(N31:O31))</f>
        <v/>
      </c>
    </row>
    <row r="32" ht="18" customHeight="1">
      <c r="B32" s="41" t="inlineStr"/>
      <c r="C32" s="42" t="inlineStr"/>
      <c r="D32" s="42" t="inlineStr"/>
      <c r="E32" s="42" t="inlineStr"/>
      <c r="F32" s="42" t="inlineStr"/>
      <c r="G32" s="43" t="inlineStr"/>
      <c r="H32" s="44">
        <f>ЕСЛИ(ЕПУСТО(D32);"";D32-E32)</f>
        <v/>
      </c>
      <c r="I32" s="44">
        <f>ЕСЛИ(ЕПУСТО(C32);"";C32-F32)</f>
        <v/>
      </c>
      <c r="J32" s="44">
        <f>ЕСЛИ(ЕПУСТО(C32);"";ABS(C32-Дашборд!C12))</f>
        <v/>
      </c>
      <c r="K32" s="45">
        <f>ЕСЛИ(ЕПУСТО(C32);"";ЕСЛИ(И(H32&lt;6;ABS(I32)&lt;3;J32&lt;3);"ФЛЭТ";ЕСЛИ(ИЛИ(H32&gt;10;I32&gt;6);"ТРЕНД ▲";ЕСЛИ(ИЛИ(H32&gt;10;I32&lt;-6);"ТРЕНД ▼";"НЕОПРЕД."))))</f>
        <v/>
      </c>
      <c r="L32" s="45">
        <f>ЕСЛИ(ЕПУСТО(C32);"";ЕСЛИ(И(H32&lt;6;ABS(I32)&lt;3;J32&lt;3);"✅ ДА";"❌ НЕТ"))</f>
        <v/>
      </c>
      <c r="M32" s="45">
        <f>ЕСЛИ(ЕПУСТО(C32);"";ЕСЛИ(И(H32&lt;6;I32&gt;-2;J32&lt;3);"✅ ДА";"❌ НЕТ"))</f>
        <v/>
      </c>
      <c r="N32" s="46" t="inlineStr"/>
      <c r="O32" s="46" t="inlineStr"/>
      <c r="P32" s="47">
        <f>ЕСЛИ(И(ЕПУСТО(N32);ЕПУСТО(O32));0;СУММ(N32:O32))</f>
        <v/>
      </c>
    </row>
    <row r="33" ht="18" customHeight="1">
      <c r="B33" s="41" t="inlineStr"/>
      <c r="C33" s="48" t="inlineStr"/>
      <c r="D33" s="48" t="inlineStr"/>
      <c r="E33" s="48" t="inlineStr"/>
      <c r="F33" s="48" t="inlineStr"/>
      <c r="G33" s="49" t="inlineStr"/>
      <c r="H33" s="44">
        <f>ЕСЛИ(ЕПУСТО(D33);"";D33-E33)</f>
        <v/>
      </c>
      <c r="I33" s="44">
        <f>ЕСЛИ(ЕПУСТО(C33);"";C33-F33)</f>
        <v/>
      </c>
      <c r="J33" s="44">
        <f>ЕСЛИ(ЕПУСТО(C33);"";ABS(C33-Дашборд!C12))</f>
        <v/>
      </c>
      <c r="K33" s="45">
        <f>ЕСЛИ(ЕПУСТО(C33);"";ЕСЛИ(И(H33&lt;6;ABS(I33)&lt;3;J33&lt;3);"ФЛЭТ";ЕСЛИ(ИЛИ(H33&gt;10;I33&gt;6);"ТРЕНД ▲";ЕСЛИ(ИЛИ(H33&gt;10;I33&lt;-6);"ТРЕНД ▼";"НЕОПРЕД."))))</f>
        <v/>
      </c>
      <c r="L33" s="45">
        <f>ЕСЛИ(ЕПУСТО(C33);"";ЕСЛИ(И(H33&lt;6;ABS(I33)&lt;3;J33&lt;3);"✅ ДА";"❌ НЕТ"))</f>
        <v/>
      </c>
      <c r="M33" s="45">
        <f>ЕСЛИ(ЕПУСТО(C33);"";ЕСЛИ(И(H33&lt;6;I33&gt;-2;J33&lt;3);"✅ ДА";"❌ НЕТ"))</f>
        <v/>
      </c>
      <c r="N33" s="50" t="inlineStr"/>
      <c r="O33" s="50" t="inlineStr"/>
      <c r="P33" s="47">
        <f>ЕСЛИ(И(ЕПУСТО(N33);ЕПУСТО(O33));0;СУММ(N33:O33))</f>
        <v/>
      </c>
    </row>
    <row r="34" ht="18" customHeight="1">
      <c r="B34" s="41" t="inlineStr"/>
      <c r="C34" s="42" t="inlineStr"/>
      <c r="D34" s="42" t="inlineStr"/>
      <c r="E34" s="42" t="inlineStr"/>
      <c r="F34" s="42" t="inlineStr"/>
      <c r="G34" s="43" t="inlineStr"/>
      <c r="H34" s="44">
        <f>ЕСЛИ(ЕПУСТО(D34);"";D34-E34)</f>
        <v/>
      </c>
      <c r="I34" s="44">
        <f>ЕСЛИ(ЕПУСТО(C34);"";C34-F34)</f>
        <v/>
      </c>
      <c r="J34" s="44">
        <f>ЕСЛИ(ЕПУСТО(C34);"";ABS(C34-Дашборд!C12))</f>
        <v/>
      </c>
      <c r="K34" s="45">
        <f>ЕСЛИ(ЕПУСТО(C34);"";ЕСЛИ(И(H34&lt;6;ABS(I34)&lt;3;J34&lt;3);"ФЛЭТ";ЕСЛИ(ИЛИ(H34&gt;10;I34&gt;6);"ТРЕНД ▲";ЕСЛИ(ИЛИ(H34&gt;10;I34&lt;-6);"ТРЕНД ▼";"НЕОПРЕД."))))</f>
        <v/>
      </c>
      <c r="L34" s="45">
        <f>ЕСЛИ(ЕПУСТО(C34);"";ЕСЛИ(И(H34&lt;6;ABS(I34)&lt;3;J34&lt;3);"✅ ДА";"❌ НЕТ"))</f>
        <v/>
      </c>
      <c r="M34" s="45">
        <f>ЕСЛИ(ЕПУСТО(C34);"";ЕСЛИ(И(H34&lt;6;I34&gt;-2;J34&lt;3);"✅ ДА";"❌ НЕТ"))</f>
        <v/>
      </c>
      <c r="N34" s="46" t="inlineStr"/>
      <c r="O34" s="46" t="inlineStr"/>
      <c r="P34" s="47">
        <f>ЕСЛИ(И(ЕПУСТО(N34);ЕПУСТО(O34));0;СУММ(N34:O34))</f>
        <v/>
      </c>
    </row>
    <row r="35" ht="18" customHeight="1">
      <c r="B35" s="41" t="inlineStr"/>
      <c r="C35" s="48" t="inlineStr"/>
      <c r="D35" s="48" t="inlineStr"/>
      <c r="E35" s="48" t="inlineStr"/>
      <c r="F35" s="48" t="inlineStr"/>
      <c r="G35" s="49" t="inlineStr"/>
      <c r="H35" s="44">
        <f>ЕСЛИ(ЕПУСТО(D35);"";D35-E35)</f>
        <v/>
      </c>
      <c r="I35" s="44">
        <f>ЕСЛИ(ЕПУСТО(C35);"";C35-F35)</f>
        <v/>
      </c>
      <c r="J35" s="44">
        <f>ЕСЛИ(ЕПУСТО(C35);"";ABS(C35-Дашборд!C12))</f>
        <v/>
      </c>
      <c r="K35" s="45">
        <f>ЕСЛИ(ЕПУСТО(C35);"";ЕСЛИ(И(H35&lt;6;ABS(I35)&lt;3;J35&lt;3);"ФЛЭТ";ЕСЛИ(ИЛИ(H35&gt;10;I35&gt;6);"ТРЕНД ▲";ЕСЛИ(ИЛИ(H35&gt;10;I35&lt;-6);"ТРЕНД ▼";"НЕОПРЕД."))))</f>
        <v/>
      </c>
      <c r="L35" s="45">
        <f>ЕСЛИ(ЕПУСТО(C35);"";ЕСЛИ(И(H35&lt;6;ABS(I35)&lt;3;J35&lt;3);"✅ ДА";"❌ НЕТ"))</f>
        <v/>
      </c>
      <c r="M35" s="45">
        <f>ЕСЛИ(ЕПУСТО(C35);"";ЕСЛИ(И(H35&lt;6;I35&gt;-2;J35&lt;3);"✅ ДА";"❌ НЕТ"))</f>
        <v/>
      </c>
      <c r="N35" s="50" t="inlineStr"/>
      <c r="O35" s="50" t="inlineStr"/>
      <c r="P35" s="47">
        <f>ЕСЛИ(И(ЕПУСТО(N35);ЕПУСТО(O35));0;СУММ(N35:O35))</f>
        <v/>
      </c>
    </row>
    <row r="36" ht="18" customHeight="1">
      <c r="B36" s="41" t="inlineStr"/>
      <c r="C36" s="42" t="inlineStr"/>
      <c r="D36" s="42" t="inlineStr"/>
      <c r="E36" s="42" t="inlineStr"/>
      <c r="F36" s="42" t="inlineStr"/>
      <c r="G36" s="43" t="inlineStr"/>
      <c r="H36" s="44">
        <f>ЕСЛИ(ЕПУСТО(D36);"";D36-E36)</f>
        <v/>
      </c>
      <c r="I36" s="44">
        <f>ЕСЛИ(ЕПУСТО(C36);"";C36-F36)</f>
        <v/>
      </c>
      <c r="J36" s="44">
        <f>ЕСЛИ(ЕПУСТО(C36);"";ABS(C36-Дашборд!C12))</f>
        <v/>
      </c>
      <c r="K36" s="45">
        <f>ЕСЛИ(ЕПУСТО(C36);"";ЕСЛИ(И(H36&lt;6;ABS(I36)&lt;3;J36&lt;3);"ФЛЭТ";ЕСЛИ(ИЛИ(H36&gt;10;I36&gt;6);"ТРЕНД ▲";ЕСЛИ(ИЛИ(H36&gt;10;I36&lt;-6);"ТРЕНД ▼";"НЕОПРЕД."))))</f>
        <v/>
      </c>
      <c r="L36" s="45">
        <f>ЕСЛИ(ЕПУСТО(C36);"";ЕСЛИ(И(H36&lt;6;ABS(I36)&lt;3;J36&lt;3);"✅ ДА";"❌ НЕТ"))</f>
        <v/>
      </c>
      <c r="M36" s="45">
        <f>ЕСЛИ(ЕПУСТО(C36);"";ЕСЛИ(И(H36&lt;6;I36&gt;-2;J36&lt;3);"✅ ДА";"❌ НЕТ"))</f>
        <v/>
      </c>
      <c r="N36" s="46" t="inlineStr"/>
      <c r="O36" s="46" t="inlineStr"/>
      <c r="P36" s="47">
        <f>ЕСЛИ(И(ЕПУСТО(N36);ЕПУСТО(O36));0;СУММ(N36:O36))</f>
        <v/>
      </c>
    </row>
    <row r="37" ht="18" customHeight="1">
      <c r="B37" s="41" t="inlineStr"/>
      <c r="C37" s="48" t="inlineStr"/>
      <c r="D37" s="48" t="inlineStr"/>
      <c r="E37" s="48" t="inlineStr"/>
      <c r="F37" s="48" t="inlineStr"/>
      <c r="G37" s="49" t="inlineStr"/>
      <c r="H37" s="44">
        <f>ЕСЛИ(ЕПУСТО(D37);"";D37-E37)</f>
        <v/>
      </c>
      <c r="I37" s="44">
        <f>ЕСЛИ(ЕПУСТО(C37);"";C37-F37)</f>
        <v/>
      </c>
      <c r="J37" s="44">
        <f>ЕСЛИ(ЕПУСТО(C37);"";ABS(C37-Дашборд!C12))</f>
        <v/>
      </c>
      <c r="K37" s="45">
        <f>ЕСЛИ(ЕПУСТО(C37);"";ЕСЛИ(И(H37&lt;6;ABS(I37)&lt;3;J37&lt;3);"ФЛЭТ";ЕСЛИ(ИЛИ(H37&gt;10;I37&gt;6);"ТРЕНД ▲";ЕСЛИ(ИЛИ(H37&gt;10;I37&lt;-6);"ТРЕНД ▼";"НЕОПРЕД."))))</f>
        <v/>
      </c>
      <c r="L37" s="45">
        <f>ЕСЛИ(ЕПУСТО(C37);"";ЕСЛИ(И(H37&lt;6;ABS(I37)&lt;3;J37&lt;3);"✅ ДА";"❌ НЕТ"))</f>
        <v/>
      </c>
      <c r="M37" s="45">
        <f>ЕСЛИ(ЕПУСТО(C37);"";ЕСЛИ(И(H37&lt;6;I37&gt;-2;J37&lt;3);"✅ ДА";"❌ НЕТ"))</f>
        <v/>
      </c>
      <c r="N37" s="50" t="inlineStr"/>
      <c r="O37" s="50" t="inlineStr"/>
      <c r="P37" s="47">
        <f>ЕСЛИ(И(ЕПУСТО(N37);ЕПУСТО(O37));0;СУММ(N37:O37))</f>
        <v/>
      </c>
    </row>
    <row r="38" ht="18" customHeight="1">
      <c r="B38" s="41" t="inlineStr"/>
      <c r="C38" s="42" t="inlineStr"/>
      <c r="D38" s="42" t="inlineStr"/>
      <c r="E38" s="42" t="inlineStr"/>
      <c r="F38" s="42" t="inlineStr"/>
      <c r="G38" s="43" t="inlineStr"/>
      <c r="H38" s="44">
        <f>ЕСЛИ(ЕПУСТО(D38);"";D38-E38)</f>
        <v/>
      </c>
      <c r="I38" s="44">
        <f>ЕСЛИ(ЕПУСТО(C38);"";C38-F38)</f>
        <v/>
      </c>
      <c r="J38" s="44">
        <f>ЕСЛИ(ЕПУСТО(C38);"";ABS(C38-Дашборд!C12))</f>
        <v/>
      </c>
      <c r="K38" s="45">
        <f>ЕСЛИ(ЕПУСТО(C38);"";ЕСЛИ(И(H38&lt;6;ABS(I38)&lt;3;J38&lt;3);"ФЛЭТ";ЕСЛИ(ИЛИ(H38&gt;10;I38&gt;6);"ТРЕНД ▲";ЕСЛИ(ИЛИ(H38&gt;10;I38&lt;-6);"ТРЕНД ▼";"НЕОПРЕД."))))</f>
        <v/>
      </c>
      <c r="L38" s="45">
        <f>ЕСЛИ(ЕПУСТО(C38);"";ЕСЛИ(И(H38&lt;6;ABS(I38)&lt;3;J38&lt;3);"✅ ДА";"❌ НЕТ"))</f>
        <v/>
      </c>
      <c r="M38" s="45">
        <f>ЕСЛИ(ЕПУСТО(C38);"";ЕСЛИ(И(H38&lt;6;I38&gt;-2;J38&lt;3);"✅ ДА";"❌ НЕТ"))</f>
        <v/>
      </c>
      <c r="N38" s="46" t="inlineStr"/>
      <c r="O38" s="46" t="inlineStr"/>
      <c r="P38" s="47">
        <f>ЕСЛИ(И(ЕПУСТО(N38);ЕПУСТО(O38));0;СУММ(N38:O38))</f>
        <v/>
      </c>
    </row>
    <row r="39" ht="18" customHeight="1">
      <c r="B39" s="41" t="inlineStr"/>
      <c r="C39" s="48" t="inlineStr"/>
      <c r="D39" s="48" t="inlineStr"/>
      <c r="E39" s="48" t="inlineStr"/>
      <c r="F39" s="48" t="inlineStr"/>
      <c r="G39" s="49" t="inlineStr"/>
      <c r="H39" s="44">
        <f>ЕСЛИ(ЕПУСТО(D39);"";D39-E39)</f>
        <v/>
      </c>
      <c r="I39" s="44">
        <f>ЕСЛИ(ЕПУСТО(C39);"";C39-F39)</f>
        <v/>
      </c>
      <c r="J39" s="44">
        <f>ЕСЛИ(ЕПУСТО(C39);"";ABS(C39-Дашборд!C12))</f>
        <v/>
      </c>
      <c r="K39" s="45">
        <f>ЕСЛИ(ЕПУСТО(C39);"";ЕСЛИ(И(H39&lt;6;ABS(I39)&lt;3;J39&lt;3);"ФЛЭТ";ЕСЛИ(ИЛИ(H39&gt;10;I39&gt;6);"ТРЕНД ▲";ЕСЛИ(ИЛИ(H39&gt;10;I39&lt;-6);"ТРЕНД ▼";"НЕОПРЕД."))))</f>
        <v/>
      </c>
      <c r="L39" s="45">
        <f>ЕСЛИ(ЕПУСТО(C39);"";ЕСЛИ(И(H39&lt;6;ABS(I39)&lt;3;J39&lt;3);"✅ ДА";"❌ НЕТ"))</f>
        <v/>
      </c>
      <c r="M39" s="45">
        <f>ЕСЛИ(ЕПУСТО(C39);"";ЕСЛИ(И(H39&lt;6;I39&gt;-2;J39&lt;3);"✅ ДА";"❌ НЕТ"))</f>
        <v/>
      </c>
      <c r="N39" s="50" t="inlineStr"/>
      <c r="O39" s="50" t="inlineStr"/>
      <c r="P39" s="47">
        <f>ЕСЛИ(И(ЕПУСТО(N39);ЕПУСТО(O39));0;СУММ(N39:O39))</f>
        <v/>
      </c>
    </row>
    <row r="40" ht="18" customHeight="1">
      <c r="B40" s="41" t="inlineStr"/>
      <c r="C40" s="42" t="inlineStr"/>
      <c r="D40" s="42" t="inlineStr"/>
      <c r="E40" s="42" t="inlineStr"/>
      <c r="F40" s="42" t="inlineStr"/>
      <c r="G40" s="43" t="inlineStr"/>
      <c r="H40" s="44">
        <f>ЕСЛИ(ЕПУСТО(D40);"";D40-E40)</f>
        <v/>
      </c>
      <c r="I40" s="44">
        <f>ЕСЛИ(ЕПУСТО(C40);"";C40-F40)</f>
        <v/>
      </c>
      <c r="J40" s="44">
        <f>ЕСЛИ(ЕПУСТО(C40);"";ABS(C40-Дашборд!C12))</f>
        <v/>
      </c>
      <c r="K40" s="45">
        <f>ЕСЛИ(ЕПУСТО(C40);"";ЕСЛИ(И(H40&lt;6;ABS(I40)&lt;3;J40&lt;3);"ФЛЭТ";ЕСЛИ(ИЛИ(H40&gt;10;I40&gt;6);"ТРЕНД ▲";ЕСЛИ(ИЛИ(H40&gt;10;I40&lt;-6);"ТРЕНД ▼";"НЕОПРЕД."))))</f>
        <v/>
      </c>
      <c r="L40" s="45">
        <f>ЕСЛИ(ЕПУСТО(C40);"";ЕСЛИ(И(H40&lt;6;ABS(I40)&lt;3;J40&lt;3);"✅ ДА";"❌ НЕТ"))</f>
        <v/>
      </c>
      <c r="M40" s="45">
        <f>ЕСЛИ(ЕПУСТО(C40);"";ЕСЛИ(И(H40&lt;6;I40&gt;-2;J40&lt;3);"✅ ДА";"❌ НЕТ"))</f>
        <v/>
      </c>
      <c r="N40" s="46" t="inlineStr"/>
      <c r="O40" s="46" t="inlineStr"/>
      <c r="P40" s="47">
        <f>ЕСЛИ(И(ЕПУСТО(N40);ЕПУСТО(O40));0;СУММ(N40:O40))</f>
        <v/>
      </c>
    </row>
    <row r="41" ht="18" customHeight="1">
      <c r="B41" s="41" t="inlineStr"/>
      <c r="C41" s="48" t="inlineStr"/>
      <c r="D41" s="48" t="inlineStr"/>
      <c r="E41" s="48" t="inlineStr"/>
      <c r="F41" s="48" t="inlineStr"/>
      <c r="G41" s="49" t="inlineStr"/>
      <c r="H41" s="44">
        <f>ЕСЛИ(ЕПУСТО(D41);"";D41-E41)</f>
        <v/>
      </c>
      <c r="I41" s="44">
        <f>ЕСЛИ(ЕПУСТО(C41);"";C41-F41)</f>
        <v/>
      </c>
      <c r="J41" s="44">
        <f>ЕСЛИ(ЕПУСТО(C41);"";ABS(C41-Дашборд!C12))</f>
        <v/>
      </c>
      <c r="K41" s="45">
        <f>ЕСЛИ(ЕПУСТО(C41);"";ЕСЛИ(И(H41&lt;6;ABS(I41)&lt;3;J41&lt;3);"ФЛЭТ";ЕСЛИ(ИЛИ(H41&gt;10;I41&gt;6);"ТРЕНД ▲";ЕСЛИ(ИЛИ(H41&gt;10;I41&lt;-6);"ТРЕНД ▼";"НЕОПРЕД."))))</f>
        <v/>
      </c>
      <c r="L41" s="45">
        <f>ЕСЛИ(ЕПУСТО(C41);"";ЕСЛИ(И(H41&lt;6;ABS(I41)&lt;3;J41&lt;3);"✅ ДА";"❌ НЕТ"))</f>
        <v/>
      </c>
      <c r="M41" s="45">
        <f>ЕСЛИ(ЕПУСТО(C41);"";ЕСЛИ(И(H41&lt;6;I41&gt;-2;J41&lt;3);"✅ ДА";"❌ НЕТ"))</f>
        <v/>
      </c>
      <c r="N41" s="50" t="inlineStr"/>
      <c r="O41" s="50" t="inlineStr"/>
      <c r="P41" s="47">
        <f>ЕСЛИ(И(ЕПУСТО(N41);ЕПУСТО(O41));0;СУММ(N41:O41))</f>
        <v/>
      </c>
    </row>
    <row r="42" ht="18" customHeight="1">
      <c r="B42" s="41" t="inlineStr"/>
      <c r="C42" s="42" t="inlineStr"/>
      <c r="D42" s="42" t="inlineStr"/>
      <c r="E42" s="42" t="inlineStr"/>
      <c r="F42" s="42" t="inlineStr"/>
      <c r="G42" s="43" t="inlineStr"/>
      <c r="H42" s="44">
        <f>ЕСЛИ(ЕПУСТО(D42);"";D42-E42)</f>
        <v/>
      </c>
      <c r="I42" s="44">
        <f>ЕСЛИ(ЕПУСТО(C42);"";C42-F42)</f>
        <v/>
      </c>
      <c r="J42" s="44">
        <f>ЕСЛИ(ЕПУСТО(C42);"";ABS(C42-Дашборд!C12))</f>
        <v/>
      </c>
      <c r="K42" s="45">
        <f>ЕСЛИ(ЕПУСТО(C42);"";ЕСЛИ(И(H42&lt;6;ABS(I42)&lt;3;J42&lt;3);"ФЛЭТ";ЕСЛИ(ИЛИ(H42&gt;10;I42&gt;6);"ТРЕНД ▲";ЕСЛИ(ИЛИ(H42&gt;10;I42&lt;-6);"ТРЕНД ▼";"НЕОПРЕД."))))</f>
        <v/>
      </c>
      <c r="L42" s="45">
        <f>ЕСЛИ(ЕПУСТО(C42);"";ЕСЛИ(И(H42&lt;6;ABS(I42)&lt;3;J42&lt;3);"✅ ДА";"❌ НЕТ"))</f>
        <v/>
      </c>
      <c r="M42" s="45">
        <f>ЕСЛИ(ЕПУСТО(C42);"";ЕСЛИ(И(H42&lt;6;I42&gt;-2;J42&lt;3);"✅ ДА";"❌ НЕТ"))</f>
        <v/>
      </c>
      <c r="N42" s="46" t="inlineStr"/>
      <c r="O42" s="46" t="inlineStr"/>
      <c r="P42" s="47">
        <f>ЕСЛИ(И(ЕПУСТО(N42);ЕПУСТО(O42));0;СУММ(N42:O42))</f>
        <v/>
      </c>
    </row>
    <row r="43" ht="18" customHeight="1">
      <c r="B43" s="41" t="inlineStr"/>
      <c r="C43" s="48" t="inlineStr"/>
      <c r="D43" s="48" t="inlineStr"/>
      <c r="E43" s="48" t="inlineStr"/>
      <c r="F43" s="48" t="inlineStr"/>
      <c r="G43" s="49" t="inlineStr"/>
      <c r="H43" s="44">
        <f>ЕСЛИ(ЕПУСТО(D43);"";D43-E43)</f>
        <v/>
      </c>
      <c r="I43" s="44">
        <f>ЕСЛИ(ЕПУСТО(C43);"";C43-F43)</f>
        <v/>
      </c>
      <c r="J43" s="44">
        <f>ЕСЛИ(ЕПУСТО(C43);"";ABS(C43-Дашборд!C12))</f>
        <v/>
      </c>
      <c r="K43" s="45">
        <f>ЕСЛИ(ЕПУСТО(C43);"";ЕСЛИ(И(H43&lt;6;ABS(I43)&lt;3;J43&lt;3);"ФЛЭТ";ЕСЛИ(ИЛИ(H43&gt;10;I43&gt;6);"ТРЕНД ▲";ЕСЛИ(ИЛИ(H43&gt;10;I43&lt;-6);"ТРЕНД ▼";"НЕОПРЕД."))))</f>
        <v/>
      </c>
      <c r="L43" s="45">
        <f>ЕСЛИ(ЕПУСТО(C43);"";ЕСЛИ(И(H43&lt;6;ABS(I43)&lt;3;J43&lt;3);"✅ ДА";"❌ НЕТ"))</f>
        <v/>
      </c>
      <c r="M43" s="45">
        <f>ЕСЛИ(ЕПУСТО(C43);"";ЕСЛИ(И(H43&lt;6;I43&gt;-2;J43&lt;3);"✅ ДА";"❌ НЕТ"))</f>
        <v/>
      </c>
      <c r="N43" s="50" t="inlineStr"/>
      <c r="O43" s="50" t="inlineStr"/>
      <c r="P43" s="47">
        <f>ЕСЛИ(И(ЕПУСТО(N43);ЕПУСТО(O43));0;СУММ(N43:O43))</f>
        <v/>
      </c>
    </row>
    <row r="44" ht="18" customHeight="1">
      <c r="B44" s="41" t="inlineStr"/>
      <c r="C44" s="42" t="inlineStr"/>
      <c r="D44" s="42" t="inlineStr"/>
      <c r="E44" s="42" t="inlineStr"/>
      <c r="F44" s="42" t="inlineStr"/>
      <c r="G44" s="43" t="inlineStr"/>
      <c r="H44" s="44">
        <f>ЕСЛИ(ЕПУСТО(D44);"";D44-E44)</f>
        <v/>
      </c>
      <c r="I44" s="44">
        <f>ЕСЛИ(ЕПУСТО(C44);"";C44-F44)</f>
        <v/>
      </c>
      <c r="J44" s="44">
        <f>ЕСЛИ(ЕПУСТО(C44);"";ABS(C44-Дашборд!C12))</f>
        <v/>
      </c>
      <c r="K44" s="45">
        <f>ЕСЛИ(ЕПУСТО(C44);"";ЕСЛИ(И(H44&lt;6;ABS(I44)&lt;3;J44&lt;3);"ФЛЭТ";ЕСЛИ(ИЛИ(H44&gt;10;I44&gt;6);"ТРЕНД ▲";ЕСЛИ(ИЛИ(H44&gt;10;I44&lt;-6);"ТРЕНД ▼";"НЕОПРЕД."))))</f>
        <v/>
      </c>
      <c r="L44" s="45">
        <f>ЕСЛИ(ЕПУСТО(C44);"";ЕСЛИ(И(H44&lt;6;ABS(I44)&lt;3;J44&lt;3);"✅ ДА";"❌ НЕТ"))</f>
        <v/>
      </c>
      <c r="M44" s="45">
        <f>ЕСЛИ(ЕПУСТО(C44);"";ЕСЛИ(И(H44&lt;6;I44&gt;-2;J44&lt;3);"✅ ДА";"❌ НЕТ"))</f>
        <v/>
      </c>
      <c r="N44" s="46" t="inlineStr"/>
      <c r="O44" s="46" t="inlineStr"/>
      <c r="P44" s="47">
        <f>ЕСЛИ(И(ЕПУСТО(N44);ЕПУСТО(O44));0;СУММ(N44:O44))</f>
        <v/>
      </c>
    </row>
    <row r="45" ht="18" customHeight="1">
      <c r="B45" s="41" t="inlineStr"/>
      <c r="C45" s="48" t="inlineStr"/>
      <c r="D45" s="48" t="inlineStr"/>
      <c r="E45" s="48" t="inlineStr"/>
      <c r="F45" s="48" t="inlineStr"/>
      <c r="G45" s="49" t="inlineStr"/>
      <c r="H45" s="44">
        <f>ЕСЛИ(ЕПУСТО(D45);"";D45-E45)</f>
        <v/>
      </c>
      <c r="I45" s="44">
        <f>ЕСЛИ(ЕПУСТО(C45);"";C45-F45)</f>
        <v/>
      </c>
      <c r="J45" s="44">
        <f>ЕСЛИ(ЕПУСТО(C45);"";ABS(C45-Дашборд!C12))</f>
        <v/>
      </c>
      <c r="K45" s="45">
        <f>ЕСЛИ(ЕПУСТО(C45);"";ЕСЛИ(И(H45&lt;6;ABS(I45)&lt;3;J45&lt;3);"ФЛЭТ";ЕСЛИ(ИЛИ(H45&gt;10;I45&gt;6);"ТРЕНД ▲";ЕСЛИ(ИЛИ(H45&gt;10;I45&lt;-6);"ТРЕНД ▼";"НЕОПРЕД."))))</f>
        <v/>
      </c>
      <c r="L45" s="45">
        <f>ЕСЛИ(ЕПУСТО(C45);"";ЕСЛИ(И(H45&lt;6;ABS(I45)&lt;3;J45&lt;3);"✅ ДА";"❌ НЕТ"))</f>
        <v/>
      </c>
      <c r="M45" s="45">
        <f>ЕСЛИ(ЕПУСТО(C45);"";ЕСЛИ(И(H45&lt;6;I45&gt;-2;J45&lt;3);"✅ ДА";"❌ НЕТ"))</f>
        <v/>
      </c>
      <c r="N45" s="50" t="inlineStr"/>
      <c r="O45" s="50" t="inlineStr"/>
      <c r="P45" s="47">
        <f>ЕСЛИ(И(ЕПУСТО(N45);ЕПУСТО(O45));0;СУММ(N45:O45))</f>
        <v/>
      </c>
    </row>
    <row r="46" ht="18" customHeight="1">
      <c r="B46" s="41" t="inlineStr"/>
      <c r="C46" s="42" t="inlineStr"/>
      <c r="D46" s="42" t="inlineStr"/>
      <c r="E46" s="42" t="inlineStr"/>
      <c r="F46" s="42" t="inlineStr"/>
      <c r="G46" s="43" t="inlineStr"/>
      <c r="H46" s="44">
        <f>ЕСЛИ(ЕПУСТО(D46);"";D46-E46)</f>
        <v/>
      </c>
      <c r="I46" s="44">
        <f>ЕСЛИ(ЕПУСТО(C46);"";C46-F46)</f>
        <v/>
      </c>
      <c r="J46" s="44">
        <f>ЕСЛИ(ЕПУСТО(C46);"";ABS(C46-Дашборд!C12))</f>
        <v/>
      </c>
      <c r="K46" s="45">
        <f>ЕСЛИ(ЕПУСТО(C46);"";ЕСЛИ(И(H46&lt;6;ABS(I46)&lt;3;J46&lt;3);"ФЛЭТ";ЕСЛИ(ИЛИ(H46&gt;10;I46&gt;6);"ТРЕНД ▲";ЕСЛИ(ИЛИ(H46&gt;10;I46&lt;-6);"ТРЕНД ▼";"НЕОПРЕД."))))</f>
        <v/>
      </c>
      <c r="L46" s="45">
        <f>ЕСЛИ(ЕПУСТО(C46);"";ЕСЛИ(И(H46&lt;6;ABS(I46)&lt;3;J46&lt;3);"✅ ДА";"❌ НЕТ"))</f>
        <v/>
      </c>
      <c r="M46" s="45">
        <f>ЕСЛИ(ЕПУСТО(C46);"";ЕСЛИ(И(H46&lt;6;I46&gt;-2;J46&lt;3);"✅ ДА";"❌ НЕТ"))</f>
        <v/>
      </c>
      <c r="N46" s="46" t="inlineStr"/>
      <c r="O46" s="46" t="inlineStr"/>
      <c r="P46" s="47">
        <f>ЕСЛИ(И(ЕПУСТО(N46);ЕПУСТО(O46));0;СУММ(N46:O46))</f>
        <v/>
      </c>
    </row>
    <row r="47" ht="18" customHeight="1">
      <c r="B47" s="41" t="inlineStr"/>
      <c r="C47" s="48" t="inlineStr"/>
      <c r="D47" s="48" t="inlineStr"/>
      <c r="E47" s="48" t="inlineStr"/>
      <c r="F47" s="48" t="inlineStr"/>
      <c r="G47" s="49" t="inlineStr"/>
      <c r="H47" s="44">
        <f>ЕСЛИ(ЕПУСТО(D47);"";D47-E47)</f>
        <v/>
      </c>
      <c r="I47" s="44">
        <f>ЕСЛИ(ЕПУСТО(C47);"";C47-F47)</f>
        <v/>
      </c>
      <c r="J47" s="44">
        <f>ЕСЛИ(ЕПУСТО(C47);"";ABS(C47-Дашборд!C12))</f>
        <v/>
      </c>
      <c r="K47" s="45">
        <f>ЕСЛИ(ЕПУСТО(C47);"";ЕСЛИ(И(H47&lt;6;ABS(I47)&lt;3;J47&lt;3);"ФЛЭТ";ЕСЛИ(ИЛИ(H47&gt;10;I47&gt;6);"ТРЕНД ▲";ЕСЛИ(ИЛИ(H47&gt;10;I47&lt;-6);"ТРЕНД ▼";"НЕОПРЕД."))))</f>
        <v/>
      </c>
      <c r="L47" s="45">
        <f>ЕСЛИ(ЕПУСТО(C47);"";ЕСЛИ(И(H47&lt;6;ABS(I47)&lt;3;J47&lt;3);"✅ ДА";"❌ НЕТ"))</f>
        <v/>
      </c>
      <c r="M47" s="45">
        <f>ЕСЛИ(ЕПУСТО(C47);"";ЕСЛИ(И(H47&lt;6;I47&gt;-2;J47&lt;3);"✅ ДА";"❌ НЕТ"))</f>
        <v/>
      </c>
      <c r="N47" s="50" t="inlineStr"/>
      <c r="O47" s="50" t="inlineStr"/>
      <c r="P47" s="47">
        <f>ЕСЛИ(И(ЕПУСТО(N47);ЕПУСТО(O47));0;СУММ(N47:O47))</f>
        <v/>
      </c>
    </row>
    <row r="48" ht="18" customHeight="1">
      <c r="B48" s="41" t="inlineStr"/>
      <c r="C48" s="42" t="inlineStr"/>
      <c r="D48" s="42" t="inlineStr"/>
      <c r="E48" s="42" t="inlineStr"/>
      <c r="F48" s="42" t="inlineStr"/>
      <c r="G48" s="43" t="inlineStr"/>
      <c r="H48" s="44">
        <f>ЕСЛИ(ЕПУСТО(D48);"";D48-E48)</f>
        <v/>
      </c>
      <c r="I48" s="44">
        <f>ЕСЛИ(ЕПУСТО(C48);"";C48-F48)</f>
        <v/>
      </c>
      <c r="J48" s="44">
        <f>ЕСЛИ(ЕПУСТО(C48);"";ABS(C48-Дашборд!C12))</f>
        <v/>
      </c>
      <c r="K48" s="45">
        <f>ЕСЛИ(ЕПУСТО(C48);"";ЕСЛИ(И(H48&lt;6;ABS(I48)&lt;3;J48&lt;3);"ФЛЭТ";ЕСЛИ(ИЛИ(H48&gt;10;I48&gt;6);"ТРЕНД ▲";ЕСЛИ(ИЛИ(H48&gt;10;I48&lt;-6);"ТРЕНД ▼";"НЕОПРЕД."))))</f>
        <v/>
      </c>
      <c r="L48" s="45">
        <f>ЕСЛИ(ЕПУСТО(C48);"";ЕСЛИ(И(H48&lt;6;ABS(I48)&lt;3;J48&lt;3);"✅ ДА";"❌ НЕТ"))</f>
        <v/>
      </c>
      <c r="M48" s="45">
        <f>ЕСЛИ(ЕПУСТО(C48);"";ЕСЛИ(И(H48&lt;6;I48&gt;-2;J48&lt;3);"✅ ДА";"❌ НЕТ"))</f>
        <v/>
      </c>
      <c r="N48" s="46" t="inlineStr"/>
      <c r="O48" s="46" t="inlineStr"/>
      <c r="P48" s="47">
        <f>ЕСЛИ(И(ЕПУСТО(N48);ЕПУСТО(O48));0;СУММ(N48:O48))</f>
        <v/>
      </c>
    </row>
    <row r="49" ht="18" customHeight="1">
      <c r="B49" s="41" t="inlineStr"/>
      <c r="C49" s="48" t="inlineStr"/>
      <c r="D49" s="48" t="inlineStr"/>
      <c r="E49" s="48" t="inlineStr"/>
      <c r="F49" s="48" t="inlineStr"/>
      <c r="G49" s="49" t="inlineStr"/>
      <c r="H49" s="44">
        <f>ЕСЛИ(ЕПУСТО(D49);"";D49-E49)</f>
        <v/>
      </c>
      <c r="I49" s="44">
        <f>ЕСЛИ(ЕПУСТО(C49);"";C49-F49)</f>
        <v/>
      </c>
      <c r="J49" s="44">
        <f>ЕСЛИ(ЕПУСТО(C49);"";ABS(C49-Дашборд!C12))</f>
        <v/>
      </c>
      <c r="K49" s="45">
        <f>ЕСЛИ(ЕПУСТО(C49);"";ЕСЛИ(И(H49&lt;6;ABS(I49)&lt;3;J49&lt;3);"ФЛЭТ";ЕСЛИ(ИЛИ(H49&gt;10;I49&gt;6);"ТРЕНД ▲";ЕСЛИ(ИЛИ(H49&gt;10;I49&lt;-6);"ТРЕНД ▼";"НЕОПРЕД."))))</f>
        <v/>
      </c>
      <c r="L49" s="45">
        <f>ЕСЛИ(ЕПУСТО(C49);"";ЕСЛИ(И(H49&lt;6;ABS(I49)&lt;3;J49&lt;3);"✅ ДА";"❌ НЕТ"))</f>
        <v/>
      </c>
      <c r="M49" s="45">
        <f>ЕСЛИ(ЕПУСТО(C49);"";ЕСЛИ(И(H49&lt;6;I49&gt;-2;J49&lt;3);"✅ ДА";"❌ НЕТ"))</f>
        <v/>
      </c>
      <c r="N49" s="50" t="inlineStr"/>
      <c r="O49" s="50" t="inlineStr"/>
      <c r="P49" s="47">
        <f>ЕСЛИ(И(ЕПУСТО(N49);ЕПУСТО(O49));0;СУММ(N49:O49))</f>
        <v/>
      </c>
    </row>
    <row r="50" ht="18" customHeight="1">
      <c r="B50" s="41" t="inlineStr"/>
      <c r="C50" s="42" t="inlineStr"/>
      <c r="D50" s="42" t="inlineStr"/>
      <c r="E50" s="42" t="inlineStr"/>
      <c r="F50" s="42" t="inlineStr"/>
      <c r="G50" s="43" t="inlineStr"/>
      <c r="H50" s="44">
        <f>ЕСЛИ(ЕПУСТО(D50);"";D50-E50)</f>
        <v/>
      </c>
      <c r="I50" s="44">
        <f>ЕСЛИ(ЕПУСТО(C50);"";C50-F50)</f>
        <v/>
      </c>
      <c r="J50" s="44">
        <f>ЕСЛИ(ЕПУСТО(C50);"";ABS(C50-Дашборд!C12))</f>
        <v/>
      </c>
      <c r="K50" s="45">
        <f>ЕСЛИ(ЕПУСТО(C50);"";ЕСЛИ(И(H50&lt;6;ABS(I50)&lt;3;J50&lt;3);"ФЛЭТ";ЕСЛИ(ИЛИ(H50&gt;10;I50&gt;6);"ТРЕНД ▲";ЕСЛИ(ИЛИ(H50&gt;10;I50&lt;-6);"ТРЕНД ▼";"НЕОПРЕД."))))</f>
        <v/>
      </c>
      <c r="L50" s="45">
        <f>ЕСЛИ(ЕПУСТО(C50);"";ЕСЛИ(И(H50&lt;6;ABS(I50)&lt;3;J50&lt;3);"✅ ДА";"❌ НЕТ"))</f>
        <v/>
      </c>
      <c r="M50" s="45">
        <f>ЕСЛИ(ЕПУСТО(C50);"";ЕСЛИ(И(H50&lt;6;I50&gt;-2;J50&lt;3);"✅ ДА";"❌ НЕТ"))</f>
        <v/>
      </c>
      <c r="N50" s="46" t="inlineStr"/>
      <c r="O50" s="46" t="inlineStr"/>
      <c r="P50" s="47">
        <f>ЕСЛИ(И(ЕПУСТО(N50);ЕПУСТО(O50));0;СУММ(N50:O50))</f>
        <v/>
      </c>
    </row>
    <row r="51" ht="18" customHeight="1">
      <c r="B51" s="41" t="inlineStr"/>
      <c r="C51" s="48" t="inlineStr"/>
      <c r="D51" s="48" t="inlineStr"/>
      <c r="E51" s="48" t="inlineStr"/>
      <c r="F51" s="48" t="inlineStr"/>
      <c r="G51" s="49" t="inlineStr"/>
      <c r="H51" s="44">
        <f>ЕСЛИ(ЕПУСТО(D51);"";D51-E51)</f>
        <v/>
      </c>
      <c r="I51" s="44">
        <f>ЕСЛИ(ЕПУСТО(C51);"";C51-F51)</f>
        <v/>
      </c>
      <c r="J51" s="44">
        <f>ЕСЛИ(ЕПУСТО(C51);"";ABS(C51-Дашборд!C12))</f>
        <v/>
      </c>
      <c r="K51" s="45">
        <f>ЕСЛИ(ЕПУСТО(C51);"";ЕСЛИ(И(H51&lt;6;ABS(I51)&lt;3;J51&lt;3);"ФЛЭТ";ЕСЛИ(ИЛИ(H51&gt;10;I51&gt;6);"ТРЕНД ▲";ЕСЛИ(ИЛИ(H51&gt;10;I51&lt;-6);"ТРЕНД ▼";"НЕОПРЕД."))))</f>
        <v/>
      </c>
      <c r="L51" s="45">
        <f>ЕСЛИ(ЕПУСТО(C51);"";ЕСЛИ(И(H51&lt;6;ABS(I51)&lt;3;J51&lt;3);"✅ ДА";"❌ НЕТ"))</f>
        <v/>
      </c>
      <c r="M51" s="45">
        <f>ЕСЛИ(ЕПУСТО(C51);"";ЕСЛИ(И(H51&lt;6;I51&gt;-2;J51&lt;3);"✅ ДА";"❌ НЕТ"))</f>
        <v/>
      </c>
      <c r="N51" s="50" t="inlineStr"/>
      <c r="O51" s="50" t="inlineStr"/>
      <c r="P51" s="47">
        <f>ЕСЛИ(И(ЕПУСТО(N51);ЕПУСТО(O51));0;СУММ(N51:O51))</f>
        <v/>
      </c>
    </row>
    <row r="52" ht="18" customHeight="1">
      <c r="B52" s="41" t="inlineStr"/>
      <c r="C52" s="42" t="inlineStr"/>
      <c r="D52" s="42" t="inlineStr"/>
      <c r="E52" s="42" t="inlineStr"/>
      <c r="F52" s="42" t="inlineStr"/>
      <c r="G52" s="43" t="inlineStr"/>
      <c r="H52" s="44">
        <f>ЕСЛИ(ЕПУСТО(D52);"";D52-E52)</f>
        <v/>
      </c>
      <c r="I52" s="44">
        <f>ЕСЛИ(ЕПУСТО(C52);"";C52-F52)</f>
        <v/>
      </c>
      <c r="J52" s="44">
        <f>ЕСЛИ(ЕПУСТО(C52);"";ABS(C52-Дашборд!C12))</f>
        <v/>
      </c>
      <c r="K52" s="45">
        <f>ЕСЛИ(ЕПУСТО(C52);"";ЕСЛИ(И(H52&lt;6;ABS(I52)&lt;3;J52&lt;3);"ФЛЭТ";ЕСЛИ(ИЛИ(H52&gt;10;I52&gt;6);"ТРЕНД ▲";ЕСЛИ(ИЛИ(H52&gt;10;I52&lt;-6);"ТРЕНД ▼";"НЕОПРЕД."))))</f>
        <v/>
      </c>
      <c r="L52" s="45">
        <f>ЕСЛИ(ЕПУСТО(C52);"";ЕСЛИ(И(H52&lt;6;ABS(I52)&lt;3;J52&lt;3);"✅ ДА";"❌ НЕТ"))</f>
        <v/>
      </c>
      <c r="M52" s="45">
        <f>ЕСЛИ(ЕПУСТО(C52);"";ЕСЛИ(И(H52&lt;6;I52&gt;-2;J52&lt;3);"✅ ДА";"❌ НЕТ"))</f>
        <v/>
      </c>
      <c r="N52" s="46" t="inlineStr"/>
      <c r="O52" s="46" t="inlineStr"/>
      <c r="P52" s="47">
        <f>ЕСЛИ(И(ЕПУСТО(N52);ЕПУСТО(O52));0;СУММ(N52:O52))</f>
        <v/>
      </c>
    </row>
    <row r="53" ht="18" customHeight="1">
      <c r="B53" s="41" t="inlineStr"/>
      <c r="C53" s="48" t="inlineStr"/>
      <c r="D53" s="48" t="inlineStr"/>
      <c r="E53" s="48" t="inlineStr"/>
      <c r="F53" s="48" t="inlineStr"/>
      <c r="G53" s="49" t="inlineStr"/>
      <c r="H53" s="44">
        <f>ЕСЛИ(ЕПУСТО(D53);"";D53-E53)</f>
        <v/>
      </c>
      <c r="I53" s="44">
        <f>ЕСЛИ(ЕПУСТО(C53);"";C53-F53)</f>
        <v/>
      </c>
      <c r="J53" s="44">
        <f>ЕСЛИ(ЕПУСТО(C53);"";ABS(C53-Дашборд!C12))</f>
        <v/>
      </c>
      <c r="K53" s="45">
        <f>ЕСЛИ(ЕПУСТО(C53);"";ЕСЛИ(И(H53&lt;6;ABS(I53)&lt;3;J53&lt;3);"ФЛЭТ";ЕСЛИ(ИЛИ(H53&gt;10;I53&gt;6);"ТРЕНД ▲";ЕСЛИ(ИЛИ(H53&gt;10;I53&lt;-6);"ТРЕНД ▼";"НЕОПРЕД."))))</f>
        <v/>
      </c>
      <c r="L53" s="45">
        <f>ЕСЛИ(ЕПУСТО(C53);"";ЕСЛИ(И(H53&lt;6;ABS(I53)&lt;3;J53&lt;3);"✅ ДА";"❌ НЕТ"))</f>
        <v/>
      </c>
      <c r="M53" s="45">
        <f>ЕСЛИ(ЕПУСТО(C53);"";ЕСЛИ(И(H53&lt;6;I53&gt;-2;J53&lt;3);"✅ ДА";"❌ НЕТ"))</f>
        <v/>
      </c>
      <c r="N53" s="50" t="inlineStr"/>
      <c r="O53" s="50" t="inlineStr"/>
      <c r="P53" s="47">
        <f>ЕСЛИ(И(ЕПУСТО(N53);ЕПУСТО(O53));0;СУММ(N53:O53))</f>
        <v/>
      </c>
    </row>
    <row r="54" ht="18" customHeight="1">
      <c r="B54" s="41" t="inlineStr"/>
      <c r="C54" s="42" t="inlineStr"/>
      <c r="D54" s="42" t="inlineStr"/>
      <c r="E54" s="42" t="inlineStr"/>
      <c r="F54" s="42" t="inlineStr"/>
      <c r="G54" s="43" t="inlineStr"/>
      <c r="H54" s="44">
        <f>ЕСЛИ(ЕПУСТО(D54);"";D54-E54)</f>
        <v/>
      </c>
      <c r="I54" s="44">
        <f>ЕСЛИ(ЕПУСТО(C54);"";C54-F54)</f>
        <v/>
      </c>
      <c r="J54" s="44">
        <f>ЕСЛИ(ЕПУСТО(C54);"";ABS(C54-Дашборд!C12))</f>
        <v/>
      </c>
      <c r="K54" s="45">
        <f>ЕСЛИ(ЕПУСТО(C54);"";ЕСЛИ(И(H54&lt;6;ABS(I54)&lt;3;J54&lt;3);"ФЛЭТ";ЕСЛИ(ИЛИ(H54&gt;10;I54&gt;6);"ТРЕНД ▲";ЕСЛИ(ИЛИ(H54&gt;10;I54&lt;-6);"ТРЕНД ▼";"НЕОПРЕД."))))</f>
        <v/>
      </c>
      <c r="L54" s="45">
        <f>ЕСЛИ(ЕПУСТО(C54);"";ЕСЛИ(И(H54&lt;6;ABS(I54)&lt;3;J54&lt;3);"✅ ДА";"❌ НЕТ"))</f>
        <v/>
      </c>
      <c r="M54" s="45">
        <f>ЕСЛИ(ЕПУСТО(C54);"";ЕСЛИ(И(H54&lt;6;I54&gt;-2;J54&lt;3);"✅ ДА";"❌ НЕТ"))</f>
        <v/>
      </c>
      <c r="N54" s="46" t="inlineStr"/>
      <c r="O54" s="46" t="inlineStr"/>
      <c r="P54" s="47">
        <f>ЕСЛИ(И(ЕПУСТО(N54);ЕПУСТО(O54));0;СУММ(N54:O54))</f>
        <v/>
      </c>
    </row>
    <row r="55" ht="18" customHeight="1">
      <c r="B55" s="41" t="inlineStr"/>
      <c r="C55" s="48" t="inlineStr"/>
      <c r="D55" s="48" t="inlineStr"/>
      <c r="E55" s="48" t="inlineStr"/>
      <c r="F55" s="48" t="inlineStr"/>
      <c r="G55" s="49" t="inlineStr"/>
      <c r="H55" s="44">
        <f>ЕСЛИ(ЕПУСТО(D55);"";D55-E55)</f>
        <v/>
      </c>
      <c r="I55" s="44">
        <f>ЕСЛИ(ЕПУСТО(C55);"";C55-F55)</f>
        <v/>
      </c>
      <c r="J55" s="44">
        <f>ЕСЛИ(ЕПУСТО(C55);"";ABS(C55-Дашборд!C12))</f>
        <v/>
      </c>
      <c r="K55" s="45">
        <f>ЕСЛИ(ЕПУСТО(C55);"";ЕСЛИ(И(H55&lt;6;ABS(I55)&lt;3;J55&lt;3);"ФЛЭТ";ЕСЛИ(ИЛИ(H55&gt;10;I55&gt;6);"ТРЕНД ▲";ЕСЛИ(ИЛИ(H55&gt;10;I55&lt;-6);"ТРЕНД ▼";"НЕОПРЕД."))))</f>
        <v/>
      </c>
      <c r="L55" s="45">
        <f>ЕСЛИ(ЕПУСТО(C55);"";ЕСЛИ(И(H55&lt;6;ABS(I55)&lt;3;J55&lt;3);"✅ ДА";"❌ НЕТ"))</f>
        <v/>
      </c>
      <c r="M55" s="45">
        <f>ЕСЛИ(ЕПУСТО(C55);"";ЕСЛИ(И(H55&lt;6;I55&gt;-2;J55&lt;3);"✅ ДА";"❌ НЕТ"))</f>
        <v/>
      </c>
      <c r="N55" s="50" t="inlineStr"/>
      <c r="O55" s="50" t="inlineStr"/>
      <c r="P55" s="47">
        <f>ЕСЛИ(И(ЕПУСТО(N55);ЕПУСТО(O55));0;СУММ(N55:O55))</f>
        <v/>
      </c>
    </row>
    <row r="56" ht="18" customHeight="1">
      <c r="B56" s="41" t="inlineStr"/>
      <c r="C56" s="42" t="inlineStr"/>
      <c r="D56" s="42" t="inlineStr"/>
      <c r="E56" s="42" t="inlineStr"/>
      <c r="F56" s="42" t="inlineStr"/>
      <c r="G56" s="43" t="inlineStr"/>
      <c r="H56" s="44">
        <f>ЕСЛИ(ЕПУСТО(D56);"";D56-E56)</f>
        <v/>
      </c>
      <c r="I56" s="44">
        <f>ЕСЛИ(ЕПУСТО(C56);"";C56-F56)</f>
        <v/>
      </c>
      <c r="J56" s="44">
        <f>ЕСЛИ(ЕПУСТО(C56);"";ABS(C56-Дашборд!C12))</f>
        <v/>
      </c>
      <c r="K56" s="45">
        <f>ЕСЛИ(ЕПУСТО(C56);"";ЕСЛИ(И(H56&lt;6;ABS(I56)&lt;3;J56&lt;3);"ФЛЭТ";ЕСЛИ(ИЛИ(H56&gt;10;I56&gt;6);"ТРЕНД ▲";ЕСЛИ(ИЛИ(H56&gt;10;I56&lt;-6);"ТРЕНД ▼";"НЕОПРЕД."))))</f>
        <v/>
      </c>
      <c r="L56" s="45">
        <f>ЕСЛИ(ЕПУСТО(C56);"";ЕСЛИ(И(H56&lt;6;ABS(I56)&lt;3;J56&lt;3);"✅ ДА";"❌ НЕТ"))</f>
        <v/>
      </c>
      <c r="M56" s="45">
        <f>ЕСЛИ(ЕПУСТО(C56);"";ЕСЛИ(И(H56&lt;6;I56&gt;-2;J56&lt;3);"✅ ДА";"❌ НЕТ"))</f>
        <v/>
      </c>
      <c r="N56" s="46" t="inlineStr"/>
      <c r="O56" s="46" t="inlineStr"/>
      <c r="P56" s="47">
        <f>ЕСЛИ(И(ЕПУСТО(N56);ЕПУСТО(O56));0;СУММ(N56:O56))</f>
        <v/>
      </c>
    </row>
    <row r="57" ht="18" customHeight="1">
      <c r="B57" s="41" t="inlineStr"/>
      <c r="C57" s="48" t="inlineStr"/>
      <c r="D57" s="48" t="inlineStr"/>
      <c r="E57" s="48" t="inlineStr"/>
      <c r="F57" s="48" t="inlineStr"/>
      <c r="G57" s="49" t="inlineStr"/>
      <c r="H57" s="44">
        <f>ЕСЛИ(ЕПУСТО(D57);"";D57-E57)</f>
        <v/>
      </c>
      <c r="I57" s="44">
        <f>ЕСЛИ(ЕПУСТО(C57);"";C57-F57)</f>
        <v/>
      </c>
      <c r="J57" s="44">
        <f>ЕСЛИ(ЕПУСТО(C57);"";ABS(C57-Дашборд!C12))</f>
        <v/>
      </c>
      <c r="K57" s="45">
        <f>ЕСЛИ(ЕПУСТО(C57);"";ЕСЛИ(И(H57&lt;6;ABS(I57)&lt;3;J57&lt;3);"ФЛЭТ";ЕСЛИ(ИЛИ(H57&gt;10;I57&gt;6);"ТРЕНД ▲";ЕСЛИ(ИЛИ(H57&gt;10;I57&lt;-6);"ТРЕНД ▼";"НЕОПРЕД."))))</f>
        <v/>
      </c>
      <c r="L57" s="45">
        <f>ЕСЛИ(ЕПУСТО(C57);"";ЕСЛИ(И(H57&lt;6;ABS(I57)&lt;3;J57&lt;3);"✅ ДА";"❌ НЕТ"))</f>
        <v/>
      </c>
      <c r="M57" s="45">
        <f>ЕСЛИ(ЕПУСТО(C57);"";ЕСЛИ(И(H57&lt;6;I57&gt;-2;J57&lt;3);"✅ ДА";"❌ НЕТ"))</f>
        <v/>
      </c>
      <c r="N57" s="50" t="inlineStr"/>
      <c r="O57" s="50" t="inlineStr"/>
      <c r="P57" s="47">
        <f>ЕСЛИ(И(ЕПУСТО(N57);ЕПУСТО(O57));0;СУММ(N57:O57))</f>
        <v/>
      </c>
    </row>
    <row r="58" ht="18" customHeight="1">
      <c r="B58" s="41" t="inlineStr"/>
      <c r="C58" s="42" t="inlineStr"/>
      <c r="D58" s="42" t="inlineStr"/>
      <c r="E58" s="42" t="inlineStr"/>
      <c r="F58" s="42" t="inlineStr"/>
      <c r="G58" s="43" t="inlineStr"/>
      <c r="H58" s="44">
        <f>ЕСЛИ(ЕПУСТО(D58);"";D58-E58)</f>
        <v/>
      </c>
      <c r="I58" s="44">
        <f>ЕСЛИ(ЕПУСТО(C58);"";C58-F58)</f>
        <v/>
      </c>
      <c r="J58" s="44">
        <f>ЕСЛИ(ЕПУСТО(C58);"";ABS(C58-Дашборд!C12))</f>
        <v/>
      </c>
      <c r="K58" s="45">
        <f>ЕСЛИ(ЕПУСТО(C58);"";ЕСЛИ(И(H58&lt;6;ABS(I58)&lt;3;J58&lt;3);"ФЛЭТ";ЕСЛИ(ИЛИ(H58&gt;10;I58&gt;6);"ТРЕНД ▲";ЕСЛИ(ИЛИ(H58&gt;10;I58&lt;-6);"ТРЕНД ▼";"НЕОПРЕД."))))</f>
        <v/>
      </c>
      <c r="L58" s="45">
        <f>ЕСЛИ(ЕПУСТО(C58);"";ЕСЛИ(И(H58&lt;6;ABS(I58)&lt;3;J58&lt;3);"✅ ДА";"❌ НЕТ"))</f>
        <v/>
      </c>
      <c r="M58" s="45">
        <f>ЕСЛИ(ЕПУСТО(C58);"";ЕСЛИ(И(H58&lt;6;I58&gt;-2;J58&lt;3);"✅ ДА";"❌ НЕТ"))</f>
        <v/>
      </c>
      <c r="N58" s="46" t="inlineStr"/>
      <c r="O58" s="46" t="inlineStr"/>
      <c r="P58" s="47">
        <f>ЕСЛИ(И(ЕПУСТО(N58);ЕПУСТО(O58));0;СУММ(N58:O58))</f>
        <v/>
      </c>
    </row>
    <row r="59" ht="18" customHeight="1">
      <c r="B59" s="41" t="inlineStr"/>
      <c r="C59" s="48" t="inlineStr"/>
      <c r="D59" s="48" t="inlineStr"/>
      <c r="E59" s="48" t="inlineStr"/>
      <c r="F59" s="48" t="inlineStr"/>
      <c r="G59" s="49" t="inlineStr"/>
      <c r="H59" s="44">
        <f>ЕСЛИ(ЕПУСТО(D59);"";D59-E59)</f>
        <v/>
      </c>
      <c r="I59" s="44">
        <f>ЕСЛИ(ЕПУСТО(C59);"";C59-F59)</f>
        <v/>
      </c>
      <c r="J59" s="44">
        <f>ЕСЛИ(ЕПУСТО(C59);"";ABS(C59-Дашборд!C12))</f>
        <v/>
      </c>
      <c r="K59" s="45">
        <f>ЕСЛИ(ЕПУСТО(C59);"";ЕСЛИ(И(H59&lt;6;ABS(I59)&lt;3;J59&lt;3);"ФЛЭТ";ЕСЛИ(ИЛИ(H59&gt;10;I59&gt;6);"ТРЕНД ▲";ЕСЛИ(ИЛИ(H59&gt;10;I59&lt;-6);"ТРЕНД ▼";"НЕОПРЕД."))))</f>
        <v/>
      </c>
      <c r="L59" s="45">
        <f>ЕСЛИ(ЕПУСТО(C59);"";ЕСЛИ(И(H59&lt;6;ABS(I59)&lt;3;J59&lt;3);"✅ ДА";"❌ НЕТ"))</f>
        <v/>
      </c>
      <c r="M59" s="45">
        <f>ЕСЛИ(ЕПУСТО(C59);"";ЕСЛИ(И(H59&lt;6;I59&gt;-2;J59&lt;3);"✅ ДА";"❌ НЕТ"))</f>
        <v/>
      </c>
      <c r="N59" s="50" t="inlineStr"/>
      <c r="O59" s="50" t="inlineStr"/>
      <c r="P59" s="47">
        <f>ЕСЛИ(И(ЕПУСТО(N59);ЕПУСТО(O59));0;СУММ(N59:O59))</f>
        <v/>
      </c>
    </row>
    <row r="60">
      <c r="B60" s="51" t="inlineStr">
        <is>
          <t>ИТОГО P&amp;L:</t>
        </is>
      </c>
      <c r="C60" s="52" t="n"/>
      <c r="P60" s="53">
        <f>СУММ(P4:P59)</f>
        <v/>
      </c>
    </row>
  </sheetData>
  <mergeCells count="8">
    <mergeCell ref="L2:M2"/>
    <mergeCell ref="N2:P2"/>
    <mergeCell ref="C2:G2"/>
    <mergeCell ref="B1:P1"/>
    <mergeCell ref="B2:B3"/>
    <mergeCell ref="H2:J2"/>
    <mergeCell ref="K2:K3"/>
    <mergeCell ref="C60:O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7A4A"/>
    <outlinePr summaryBelow="1" summaryRight="1"/>
    <pageSetUpPr/>
  </sheetPr>
  <dimension ref="B1:H39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</cols>
  <sheetData>
    <row r="1" ht="28" customHeight="1">
      <c r="B1" s="34" t="inlineStr">
        <is>
          <t>🔧  КАЛЬКУЛЯТОР СТОИМОСТИ НОГ + ПРОФИЛЬ P&amp;L</t>
        </is>
      </c>
    </row>
    <row r="3">
      <c r="B3" s="4" t="inlineStr">
        <is>
          <t>📐  ПАРАМЕТРЫ ЧЕРНОГО-ШОУЛЗА (вводить вручную)</t>
        </is>
      </c>
    </row>
    <row r="4">
      <c r="B4" s="5" t="inlineStr">
        <is>
          <t>S — Цена акции</t>
        </is>
      </c>
      <c r="C4" s="54" t="n">
        <v>317.2</v>
      </c>
      <c r="D4" s="35" t="inlineStr">
        <is>
          <t>Нога</t>
        </is>
      </c>
      <c r="E4" s="35" t="inlineStr">
        <is>
          <t>Страйк</t>
        </is>
      </c>
      <c r="F4" s="35" t="inlineStr">
        <is>
          <t>Тип</t>
        </is>
      </c>
      <c r="G4" s="35" t="inlineStr">
        <is>
          <t>Цена BS</t>
        </is>
      </c>
      <c r="H4" s="35" t="inlineStr">
        <is>
          <t>BUY/SELL</t>
        </is>
      </c>
    </row>
    <row r="5">
      <c r="B5" s="5" t="inlineStr">
        <is>
          <t>σ — Vol (IV, дробь)</t>
        </is>
      </c>
      <c r="C5" s="54" t="n">
        <v>0.089</v>
      </c>
      <c r="D5" s="5" t="inlineStr">
        <is>
          <t>BUY PUT 305</t>
        </is>
      </c>
      <c r="E5" s="55" t="n">
        <v>305</v>
      </c>
      <c r="F5" s="56" t="inlineStr">
        <is>
          <t>PUT</t>
        </is>
      </c>
      <c r="G5" s="57">
        <f>ЕСЛИ($C$8=0;МАКС(E5-$C$4;0);E5*ЕХР(-$C$6*$C$8)*НОРМ.СТ.РАСП(-((ЛН($C$4/E5)+($C$6+$C$5^2/2)*$C$8)/($C$5*КОРЕНЬ($C$8))-$C$5*КОРЕНЬ($C$8));1)-$C$4*НОРМ.СТ.РАСП(-((ЛН($C$4/E5)+($C$6+$C$5^2/2)*$C$8)/($C$5*КОРЕНЬ($C$8)));1))</f>
        <v/>
      </c>
      <c r="H5" s="58" t="inlineStr">
        <is>
          <t>BUY</t>
        </is>
      </c>
    </row>
    <row r="6">
      <c r="B6" s="5" t="inlineStr">
        <is>
          <t>r — Ставка (дробь)</t>
        </is>
      </c>
      <c r="C6" s="54" t="n">
        <v>0.16</v>
      </c>
      <c r="D6" s="5" t="inlineStr">
        <is>
          <t>SELL PUT 315</t>
        </is>
      </c>
      <c r="E6" s="55" t="n">
        <v>315</v>
      </c>
      <c r="F6" s="56" t="inlineStr">
        <is>
          <t>PUT</t>
        </is>
      </c>
      <c r="G6" s="57">
        <f>ЕСЛИ($C$8=0;МАКС(E6-$C$4;0);E6*ЕХР(-$C$6*$C$8)*НОРМ.СТ.РАСП(-((ЛН($C$4/E6)+($C$6+$C$5^2/2)*$C$8)/($C$5*КОРЕНЬ($C$8))-$C$5*КОРЕНЬ($C$8));1)-$C$4*НОРМ.СТ.РАСП(-((ЛН($C$4/E6)+($C$6+$C$5^2/2)*$C$8)/($C$5*КОРЕНЬ($C$8)));1))</f>
        <v/>
      </c>
      <c r="H6" s="59" t="inlineStr">
        <is>
          <t>SELL</t>
        </is>
      </c>
    </row>
    <row r="7">
      <c r="B7" s="5" t="inlineStr">
        <is>
          <t>T — Дней до экспир.</t>
        </is>
      </c>
      <c r="C7" s="60" t="n">
        <v>27</v>
      </c>
      <c r="D7" s="5" t="inlineStr">
        <is>
          <t>BUY CALL 320</t>
        </is>
      </c>
      <c r="E7" s="55" t="n">
        <v>320</v>
      </c>
      <c r="F7" s="56" t="inlineStr">
        <is>
          <t>CALL</t>
        </is>
      </c>
      <c r="G7" s="57">
        <f>ЕСЛИ($C$8=0;МАКС($C$4-E7;0);$C$4*НОРМ.СТ.РАСП((ЛН($C$4/E7)+($C$6+$C$5^2/2)*$C$8)/($C$5*КОРЕНЬ($C$8));1)-E7*ЕХР(-$C$6*$C$8)*НОРМ.СТ.РАСП((ЛН($C$4/E7)+($C$6+$C$5^2/2)*$C$8)/($C$5*КОРЕНЬ($C$8))-$C$5*КОРЕНЬ($C$8);1))</f>
        <v/>
      </c>
      <c r="H7" s="58" t="inlineStr">
        <is>
          <t>BUY</t>
        </is>
      </c>
    </row>
    <row r="8">
      <c r="B8" s="5" t="inlineStr">
        <is>
          <t>T (год)</t>
        </is>
      </c>
      <c r="C8" s="54">
        <f>C7/365</f>
        <v/>
      </c>
      <c r="D8" s="5" t="inlineStr">
        <is>
          <t>SELL CALL 330</t>
        </is>
      </c>
      <c r="E8" s="55" t="n">
        <v>330</v>
      </c>
      <c r="F8" s="56" t="inlineStr">
        <is>
          <t>CALL</t>
        </is>
      </c>
      <c r="G8" s="57">
        <f>ЕСЛИ($C$8=0;МАКС($C$4-E8;0);$C$4*НОРМ.СТ.РАСП((ЛН($C$4/E8)+($C$6+$C$5^2/2)*$C$8)/($C$5*КОРЕНЬ($C$8));1)-E8*ЕХР(-$C$6*$C$8)*НОРМ.СТ.РАСП((ЛН($C$4/E8)+($C$6+$C$5^2/2)*$C$8)/($C$5*КОРЕНЬ($C$8))-$C$5*КОРЕНЬ($C$8);1))</f>
        <v/>
      </c>
      <c r="H8" s="59" t="inlineStr">
        <is>
          <t>SELL</t>
        </is>
      </c>
    </row>
    <row r="9">
      <c r="D9" s="61" t="inlineStr">
        <is>
          <t>💰 Дебет конструкции (руб.)</t>
        </is>
      </c>
      <c r="E9" s="52" t="n"/>
      <c r="G9" s="62">
        <f>G5+G7-G6-G8</f>
        <v/>
      </c>
      <c r="H9" s="63" t="inlineStr">
        <is>
          <t>руб./акц.</t>
        </is>
      </c>
    </row>
    <row r="11">
      <c r="B11" s="4" t="inlineStr">
        <is>
          <t>📈  ПРОФИЛЬ P&amp;L ПО ЦЕНЕ НА ЭКСПИРАЦИИ (100 акций = 1 контракт)</t>
        </is>
      </c>
    </row>
    <row r="12">
      <c r="B12" s="35" t="inlineStr">
        <is>
          <t>Цена SBER</t>
        </is>
      </c>
      <c r="C12" s="35" t="inlineStr">
        <is>
          <t>P&amp;L кондора (руб)</t>
        </is>
      </c>
      <c r="D12" s="35" t="inlineStr">
        <is>
          <t>P&amp;L акций (руб)</t>
        </is>
      </c>
      <c r="E12" s="35" t="inlineStr">
        <is>
          <t>ИТОГО (руб)</t>
        </is>
      </c>
    </row>
    <row r="13">
      <c r="B13" s="42" t="n">
        <v>285</v>
      </c>
      <c r="C13" s="64">
        <f>((МАКС(305-B13;0)-МАКС(315-B13;0))+(МАКС(B13-320;0)-МАКС(B13-330;0))-$G$9)*100</f>
        <v/>
      </c>
      <c r="D13" s="64">
        <f>(B13-$C$4)*1000</f>
        <v/>
      </c>
      <c r="E13" s="47">
        <f>C13+D13</f>
        <v/>
      </c>
    </row>
    <row r="14">
      <c r="B14" s="48" t="n">
        <v>287.5</v>
      </c>
      <c r="C14" s="64">
        <f>((МАКС(305-B14;0)-МАКС(315-B14;0))+(МАКС(B14-320;0)-МАКС(B14-330;0))-$G$9)*100</f>
        <v/>
      </c>
      <c r="D14" s="64">
        <f>(B14-$C$4)*1000</f>
        <v/>
      </c>
      <c r="E14" s="47">
        <f>C14+D14</f>
        <v/>
      </c>
    </row>
    <row r="15">
      <c r="B15" s="42" t="n">
        <v>290</v>
      </c>
      <c r="C15" s="64">
        <f>((МАКС(305-B15;0)-МАКС(315-B15;0))+(МАКС(B15-320;0)-МАКС(B15-330;0))-$G$9)*100</f>
        <v/>
      </c>
      <c r="D15" s="64">
        <f>(B15-$C$4)*1000</f>
        <v/>
      </c>
      <c r="E15" s="47">
        <f>C15+D15</f>
        <v/>
      </c>
    </row>
    <row r="16">
      <c r="B16" s="48" t="n">
        <v>292.5</v>
      </c>
      <c r="C16" s="64">
        <f>((МАКС(305-B16;0)-МАКС(315-B16;0))+(МАКС(B16-320;0)-МАКС(B16-330;0))-$G$9)*100</f>
        <v/>
      </c>
      <c r="D16" s="64">
        <f>(B16-$C$4)*1000</f>
        <v/>
      </c>
      <c r="E16" s="47">
        <f>C16+D16</f>
        <v/>
      </c>
    </row>
    <row r="17">
      <c r="B17" s="42" t="n">
        <v>295</v>
      </c>
      <c r="C17" s="64">
        <f>((МАКС(305-B17;0)-МАКС(315-B17;0))+(МАКС(B17-320;0)-МАКС(B17-330;0))-$G$9)*100</f>
        <v/>
      </c>
      <c r="D17" s="64">
        <f>(B17-$C$4)*1000</f>
        <v/>
      </c>
      <c r="E17" s="47">
        <f>C17+D17</f>
        <v/>
      </c>
    </row>
    <row r="18">
      <c r="B18" s="48" t="n">
        <v>297.5</v>
      </c>
      <c r="C18" s="64">
        <f>((МАКС(305-B18;0)-МАКС(315-B18;0))+(МАКС(B18-320;0)-МАКС(B18-330;0))-$G$9)*100</f>
        <v/>
      </c>
      <c r="D18" s="64">
        <f>(B18-$C$4)*1000</f>
        <v/>
      </c>
      <c r="E18" s="47">
        <f>C18+D18</f>
        <v/>
      </c>
    </row>
    <row r="19">
      <c r="B19" s="42" t="n">
        <v>300</v>
      </c>
      <c r="C19" s="64">
        <f>((МАКС(305-B19;0)-МАКС(315-B19;0))+(МАКС(B19-320;0)-МАКС(B19-330;0))-$G$9)*100</f>
        <v/>
      </c>
      <c r="D19" s="64">
        <f>(B19-$C$4)*1000</f>
        <v/>
      </c>
      <c r="E19" s="47">
        <f>C19+D19</f>
        <v/>
      </c>
    </row>
    <row r="20">
      <c r="B20" s="48" t="n">
        <v>302.5</v>
      </c>
      <c r="C20" s="64">
        <f>((МАКС(305-B20;0)-МАКС(315-B20;0))+(МАКС(B20-320;0)-МАКС(B20-330;0))-$G$9)*100</f>
        <v/>
      </c>
      <c r="D20" s="64">
        <f>(B20-$C$4)*1000</f>
        <v/>
      </c>
      <c r="E20" s="47">
        <f>C20+D20</f>
        <v/>
      </c>
    </row>
    <row r="21">
      <c r="B21" s="42" t="n">
        <v>305</v>
      </c>
      <c r="C21" s="64">
        <f>((МАКС(305-B21;0)-МАКС(315-B21;0))+(МАКС(B21-320;0)-МАКС(B21-330;0))-$G$9)*100</f>
        <v/>
      </c>
      <c r="D21" s="64">
        <f>(B21-$C$4)*1000</f>
        <v/>
      </c>
      <c r="E21" s="47">
        <f>C21+D21</f>
        <v/>
      </c>
    </row>
    <row r="22">
      <c r="B22" s="48" t="n">
        <v>307.5</v>
      </c>
      <c r="C22" s="64">
        <f>((МАКС(305-B22;0)-МАКС(315-B22;0))+(МАКС(B22-320;0)-МАКС(B22-330;0))-$G$9)*100</f>
        <v/>
      </c>
      <c r="D22" s="64">
        <f>(B22-$C$4)*1000</f>
        <v/>
      </c>
      <c r="E22" s="47">
        <f>C22+D22</f>
        <v/>
      </c>
    </row>
    <row r="23">
      <c r="B23" s="42" t="n">
        <v>310</v>
      </c>
      <c r="C23" s="64">
        <f>((МАКС(305-B23;0)-МАКС(315-B23;0))+(МАКС(B23-320;0)-МАКС(B23-330;0))-$G$9)*100</f>
        <v/>
      </c>
      <c r="D23" s="64">
        <f>(B23-$C$4)*1000</f>
        <v/>
      </c>
      <c r="E23" s="47">
        <f>C23+D23</f>
        <v/>
      </c>
    </row>
    <row r="24">
      <c r="B24" s="48" t="n">
        <v>312.5</v>
      </c>
      <c r="C24" s="64">
        <f>((МАКС(305-B24;0)-МАКС(315-B24;0))+(МАКС(B24-320;0)-МАКС(B24-330;0))-$G$9)*100</f>
        <v/>
      </c>
      <c r="D24" s="64">
        <f>(B24-$C$4)*1000</f>
        <v/>
      </c>
      <c r="E24" s="47">
        <f>C24+D24</f>
        <v/>
      </c>
    </row>
    <row r="25">
      <c r="B25" s="42" t="n">
        <v>315</v>
      </c>
      <c r="C25" s="64">
        <f>((МАКС(305-B25;0)-МАКС(315-B25;0))+(МАКС(B25-320;0)-МАКС(B25-330;0))-$G$9)*100</f>
        <v/>
      </c>
      <c r="D25" s="64">
        <f>(B25-$C$4)*1000</f>
        <v/>
      </c>
      <c r="E25" s="47">
        <f>C25+D25</f>
        <v/>
      </c>
    </row>
    <row r="26">
      <c r="B26" s="48" t="n">
        <v>317.5</v>
      </c>
      <c r="C26" s="64">
        <f>((МАКС(305-B26;0)-МАКС(315-B26;0))+(МАКС(B26-320;0)-МАКС(B26-330;0))-$G$9)*100</f>
        <v/>
      </c>
      <c r="D26" s="64">
        <f>(B26-$C$4)*1000</f>
        <v/>
      </c>
      <c r="E26" s="47">
        <f>C26+D26</f>
        <v/>
      </c>
    </row>
    <row r="27">
      <c r="B27" s="42" t="n">
        <v>320</v>
      </c>
      <c r="C27" s="64">
        <f>((МАКС(305-B27;0)-МАКС(315-B27;0))+(МАКС(B27-320;0)-МАКС(B27-330;0))-$G$9)*100</f>
        <v/>
      </c>
      <c r="D27" s="64">
        <f>(B27-$C$4)*1000</f>
        <v/>
      </c>
      <c r="E27" s="47">
        <f>C27+D27</f>
        <v/>
      </c>
    </row>
    <row r="28">
      <c r="B28" s="48" t="n">
        <v>322.5</v>
      </c>
      <c r="C28" s="64">
        <f>((МАКС(305-B28;0)-МАКС(315-B28;0))+(МАКС(B28-320;0)-МАКС(B28-330;0))-$G$9)*100</f>
        <v/>
      </c>
      <c r="D28" s="64">
        <f>(B28-$C$4)*1000</f>
        <v/>
      </c>
      <c r="E28" s="47">
        <f>C28+D28</f>
        <v/>
      </c>
    </row>
    <row r="29">
      <c r="B29" s="42" t="n">
        <v>325</v>
      </c>
      <c r="C29" s="64">
        <f>((МАКС(305-B29;0)-МАКС(315-B29;0))+(МАКС(B29-320;0)-МАКС(B29-330;0))-$G$9)*100</f>
        <v/>
      </c>
      <c r="D29" s="64">
        <f>(B29-$C$4)*1000</f>
        <v/>
      </c>
      <c r="E29" s="47">
        <f>C29+D29</f>
        <v/>
      </c>
    </row>
    <row r="30">
      <c r="B30" s="48" t="n">
        <v>327.5</v>
      </c>
      <c r="C30" s="64">
        <f>((МАКС(305-B30;0)-МАКС(315-B30;0))+(МАКС(B30-320;0)-МАКС(B30-330;0))-$G$9)*100</f>
        <v/>
      </c>
      <c r="D30" s="64">
        <f>(B30-$C$4)*1000</f>
        <v/>
      </c>
      <c r="E30" s="47">
        <f>C30+D30</f>
        <v/>
      </c>
    </row>
    <row r="31">
      <c r="B31" s="42" t="n">
        <v>330</v>
      </c>
      <c r="C31" s="64">
        <f>((МАКС(305-B31;0)-МАКС(315-B31;0))+(МАКС(B31-320;0)-МАКС(B31-330;0))-$G$9)*100</f>
        <v/>
      </c>
      <c r="D31" s="64">
        <f>(B31-$C$4)*1000</f>
        <v/>
      </c>
      <c r="E31" s="47">
        <f>C31+D31</f>
        <v/>
      </c>
    </row>
    <row r="32">
      <c r="B32" s="48" t="n">
        <v>332.5</v>
      </c>
      <c r="C32" s="64">
        <f>((МАКС(305-B32;0)-МАКС(315-B32;0))+(МАКС(B32-320;0)-МАКС(B32-330;0))-$G$9)*100</f>
        <v/>
      </c>
      <c r="D32" s="64">
        <f>(B32-$C$4)*1000</f>
        <v/>
      </c>
      <c r="E32" s="47">
        <f>C32+D32</f>
        <v/>
      </c>
    </row>
    <row r="33">
      <c r="B33" s="42" t="n">
        <v>335</v>
      </c>
      <c r="C33" s="64">
        <f>((МАКС(305-B33;0)-МАКС(315-B33;0))+(МАКС(B33-320;0)-МАКС(B33-330;0))-$G$9)*100</f>
        <v/>
      </c>
      <c r="D33" s="64">
        <f>(B33-$C$4)*1000</f>
        <v/>
      </c>
      <c r="E33" s="47">
        <f>C33+D33</f>
        <v/>
      </c>
    </row>
    <row r="34">
      <c r="B34" s="48" t="n">
        <v>337.5</v>
      </c>
      <c r="C34" s="64">
        <f>((МАКС(305-B34;0)-МАКС(315-B34;0))+(МАКС(B34-320;0)-МАКС(B34-330;0))-$G$9)*100</f>
        <v/>
      </c>
      <c r="D34" s="64">
        <f>(B34-$C$4)*1000</f>
        <v/>
      </c>
      <c r="E34" s="47">
        <f>C34+D34</f>
        <v/>
      </c>
    </row>
    <row r="35">
      <c r="B35" s="42" t="n">
        <v>340</v>
      </c>
      <c r="C35" s="64">
        <f>((МАКС(305-B35;0)-МАКС(315-B35;0))+(МАКС(B35-320;0)-МАКС(B35-330;0))-$G$9)*100</f>
        <v/>
      </c>
      <c r="D35" s="64">
        <f>(B35-$C$4)*1000</f>
        <v/>
      </c>
      <c r="E35" s="47">
        <f>C35+D35</f>
        <v/>
      </c>
    </row>
    <row r="36">
      <c r="B36" s="48" t="n">
        <v>342.5</v>
      </c>
      <c r="C36" s="64">
        <f>((МАКС(305-B36;0)-МАКС(315-B36;0))+(МАКС(B36-320;0)-МАКС(B36-330;0))-$G$9)*100</f>
        <v/>
      </c>
      <c r="D36" s="64">
        <f>(B36-$C$4)*1000</f>
        <v/>
      </c>
      <c r="E36" s="47">
        <f>C36+D36</f>
        <v/>
      </c>
    </row>
    <row r="37">
      <c r="B37" s="42" t="n">
        <v>345</v>
      </c>
      <c r="C37" s="64">
        <f>((МАКС(305-B37;0)-МАКС(315-B37;0))+(МАКС(B37-320;0)-МАКС(B37-330;0))-$G$9)*100</f>
        <v/>
      </c>
      <c r="D37" s="64">
        <f>(B37-$C$4)*1000</f>
        <v/>
      </c>
      <c r="E37" s="47">
        <f>C37+D37</f>
        <v/>
      </c>
    </row>
    <row r="38">
      <c r="B38" s="48" t="n">
        <v>347.5</v>
      </c>
      <c r="C38" s="64">
        <f>((МАКС(305-B38;0)-МАКС(315-B38;0))+(МАКС(B38-320;0)-МАКС(B38-330;0))-$G$9)*100</f>
        <v/>
      </c>
      <c r="D38" s="64">
        <f>(B38-$C$4)*1000</f>
        <v/>
      </c>
      <c r="E38" s="47">
        <f>C38+D38</f>
        <v/>
      </c>
    </row>
    <row r="39">
      <c r="B39" s="42" t="n">
        <v>350</v>
      </c>
      <c r="C39" s="64">
        <f>((МАКС(305-B39;0)-МАКС(315-B39;0))+(МАКС(B39-320;0)-МАКС(B39-330;0))-$G$9)*100</f>
        <v/>
      </c>
      <c r="D39" s="64">
        <f>(B39-$C$4)*1000</f>
        <v/>
      </c>
      <c r="E39" s="47">
        <f>C39+D39</f>
        <v/>
      </c>
    </row>
  </sheetData>
  <mergeCells count="4">
    <mergeCell ref="B1:H1"/>
    <mergeCell ref="B3:H3"/>
    <mergeCell ref="E9:F9"/>
    <mergeCell ref="B11:H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87520"/>
    <outlinePr summaryBelow="1" summaryRight="1"/>
    <pageSetUpPr/>
  </sheetPr>
  <dimension ref="B1:L14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0" customWidth="1" min="12" max="12"/>
    <col width="2" customWidth="1" min="13" max="13"/>
  </cols>
  <sheetData>
    <row r="1" ht="28" customHeight="1">
      <c r="B1" s="34" t="inlineStr">
        <is>
          <t>📊  ИСТОРИЯ ЦИКЛОВ — БЭКТЕСТ И РЕАЛЬНАЯ ТОРГОВЛЯ</t>
        </is>
      </c>
    </row>
    <row r="2" ht="25" customHeight="1">
      <c r="B2" s="35" t="inlineStr">
        <is>
          <t>№</t>
        </is>
      </c>
      <c r="C2" s="35" t="inlineStr">
        <is>
          <t>Дата входа</t>
        </is>
      </c>
      <c r="D2" s="35" t="inlineStr">
        <is>
          <t>Вход</t>
        </is>
      </c>
      <c r="E2" s="35" t="inlineStr">
        <is>
          <t>Экспир.</t>
        </is>
      </c>
      <c r="F2" s="35" t="inlineStr">
        <is>
          <t>R avg</t>
        </is>
      </c>
      <c r="G2" s="35" t="inlineStr">
        <is>
          <t>Режим</t>
        </is>
      </c>
      <c r="H2" s="35" t="inlineStr">
        <is>
          <t>Фаза2?</t>
        </is>
      </c>
      <c r="I2" s="35" t="inlineStr">
        <is>
          <t>P&amp;L оп.</t>
        </is>
      </c>
      <c r="J2" s="35" t="inlineStr">
        <is>
          <t>P&amp;L Roll</t>
        </is>
      </c>
      <c r="K2" s="35" t="inlineStr">
        <is>
          <t>Итого</t>
        </is>
      </c>
      <c r="L2" s="35" t="inlineStr">
        <is>
          <t>Кумулятив</t>
        </is>
      </c>
    </row>
    <row r="3" ht="18" customHeight="1">
      <c r="B3" s="65" t="n">
        <v>1</v>
      </c>
      <c r="C3" s="65" t="inlineStr">
        <is>
          <t>03.04.25</t>
        </is>
      </c>
      <c r="D3" s="65" t="inlineStr">
        <is>
          <t>03.04.25</t>
        </is>
      </c>
      <c r="E3" s="65" t="inlineStr">
        <is>
          <t>25.04.25</t>
        </is>
      </c>
      <c r="F3" s="65" t="n">
        <v>5.2</v>
      </c>
      <c r="G3" s="65" t="inlineStr">
        <is>
          <t>ФЛЭТ</t>
        </is>
      </c>
      <c r="H3" s="65" t="inlineStr">
        <is>
          <t>ДА</t>
        </is>
      </c>
      <c r="I3" s="66" t="n">
        <v>4200</v>
      </c>
      <c r="J3" s="66" t="n">
        <v>3100</v>
      </c>
      <c r="K3" s="66" t="n">
        <v>7300</v>
      </c>
      <c r="L3" s="67" t="n">
        <v>7300</v>
      </c>
    </row>
    <row r="4" ht="18" customHeight="1">
      <c r="B4" s="68" t="n">
        <v>2</v>
      </c>
      <c r="C4" s="68" t="inlineStr">
        <is>
          <t>25.04.25</t>
        </is>
      </c>
      <c r="D4" s="68" t="inlineStr">
        <is>
          <t>25.04.25</t>
        </is>
      </c>
      <c r="E4" s="68" t="inlineStr">
        <is>
          <t>16.05.25</t>
        </is>
      </c>
      <c r="F4" s="68" t="n">
        <v>7.8</v>
      </c>
      <c r="G4" s="68" t="inlineStr">
        <is>
          <t>НЕОПРЕД</t>
        </is>
      </c>
      <c r="H4" s="68" t="inlineStr">
        <is>
          <t>НЕТ</t>
        </is>
      </c>
      <c r="I4" s="66" t="n">
        <v>1800</v>
      </c>
      <c r="J4" s="69" t="n">
        <v>0</v>
      </c>
      <c r="K4" s="66" t="n">
        <v>1800</v>
      </c>
      <c r="L4" s="67" t="n">
        <v>9100</v>
      </c>
    </row>
    <row r="5" ht="18" customHeight="1">
      <c r="B5" s="65" t="n">
        <v>3</v>
      </c>
      <c r="C5" s="65" t="inlineStr">
        <is>
          <t>16.05.25</t>
        </is>
      </c>
      <c r="D5" s="65" t="inlineStr">
        <is>
          <t>16.05.25</t>
        </is>
      </c>
      <c r="E5" s="65" t="inlineStr">
        <is>
          <t>06.06.25</t>
        </is>
      </c>
      <c r="F5" s="65" t="n">
        <v>4.9</v>
      </c>
      <c r="G5" s="65" t="inlineStr">
        <is>
          <t>ФЛЭТ</t>
        </is>
      </c>
      <c r="H5" s="65" t="inlineStr">
        <is>
          <t>ДА</t>
        </is>
      </c>
      <c r="I5" s="66" t="n">
        <v>5100</v>
      </c>
      <c r="J5" s="66" t="n">
        <v>4200</v>
      </c>
      <c r="K5" s="66" t="n">
        <v>9300</v>
      </c>
      <c r="L5" s="67" t="n">
        <v>18400</v>
      </c>
    </row>
    <row r="6" ht="18" customHeight="1">
      <c r="B6" s="68" t="n">
        <v>4</v>
      </c>
      <c r="C6" s="68" t="inlineStr">
        <is>
          <t>06.06.25</t>
        </is>
      </c>
      <c r="D6" s="68" t="inlineStr">
        <is>
          <t>06.06.25</t>
        </is>
      </c>
      <c r="E6" s="68" t="inlineStr">
        <is>
          <t>27.06.25</t>
        </is>
      </c>
      <c r="F6" s="68" t="n">
        <v>6.3</v>
      </c>
      <c r="G6" s="68" t="inlineStr">
        <is>
          <t>НЕОПРЕД</t>
        </is>
      </c>
      <c r="H6" s="68" t="inlineStr">
        <is>
          <t>НЕТ</t>
        </is>
      </c>
      <c r="I6" s="66" t="n">
        <v>2200</v>
      </c>
      <c r="J6" s="69" t="n">
        <v>0</v>
      </c>
      <c r="K6" s="66" t="n">
        <v>2200</v>
      </c>
      <c r="L6" s="67" t="n">
        <v>20600</v>
      </c>
    </row>
    <row r="7" ht="18" customHeight="1">
      <c r="B7" s="65" t="n">
        <v>5</v>
      </c>
      <c r="C7" s="65" t="inlineStr">
        <is>
          <t>27.06.25</t>
        </is>
      </c>
      <c r="D7" s="65" t="inlineStr">
        <is>
          <t>27.06.25</t>
        </is>
      </c>
      <c r="E7" s="65" t="inlineStr">
        <is>
          <t>18.07.25</t>
        </is>
      </c>
      <c r="F7" s="65" t="n">
        <v>5.1</v>
      </c>
      <c r="G7" s="65" t="inlineStr">
        <is>
          <t>ФЛЭТ</t>
        </is>
      </c>
      <c r="H7" s="65" t="inlineStr">
        <is>
          <t>ДА</t>
        </is>
      </c>
      <c r="I7" s="66" t="n">
        <v>4800</v>
      </c>
      <c r="J7" s="66" t="n">
        <v>3800</v>
      </c>
      <c r="K7" s="66" t="n">
        <v>8600</v>
      </c>
      <c r="L7" s="67" t="n">
        <v>29200</v>
      </c>
    </row>
    <row r="8" ht="18" customHeight="1">
      <c r="B8" s="68" t="n">
        <v>6</v>
      </c>
      <c r="C8" s="68" t="inlineStr">
        <is>
          <t>18.07.25</t>
        </is>
      </c>
      <c r="D8" s="68" t="inlineStr">
        <is>
          <t>18.07.25</t>
        </is>
      </c>
      <c r="E8" s="68" t="inlineStr">
        <is>
          <t>08.08.25</t>
        </is>
      </c>
      <c r="F8" s="68" t="n">
        <v>8.199999999999999</v>
      </c>
      <c r="G8" s="68" t="inlineStr">
        <is>
          <t>ТРЕНД ▼</t>
        </is>
      </c>
      <c r="H8" s="68" t="inlineStr">
        <is>
          <t>НЕТ</t>
        </is>
      </c>
      <c r="I8" s="70" t="n">
        <v>-6476</v>
      </c>
      <c r="J8" s="69" t="n">
        <v>0</v>
      </c>
      <c r="K8" s="70" t="n">
        <v>-6476</v>
      </c>
      <c r="L8" s="67" t="n">
        <v>22724</v>
      </c>
    </row>
    <row r="9" ht="18" customHeight="1">
      <c r="B9" s="65" t="n">
        <v>7</v>
      </c>
      <c r="C9" s="65" t="inlineStr">
        <is>
          <t>08.08.25</t>
        </is>
      </c>
      <c r="D9" s="65" t="inlineStr">
        <is>
          <t>08.08.25</t>
        </is>
      </c>
      <c r="E9" s="65" t="inlineStr">
        <is>
          <t>29.08.25</t>
        </is>
      </c>
      <c r="F9" s="65" t="n">
        <v>4.7</v>
      </c>
      <c r="G9" s="65" t="inlineStr">
        <is>
          <t>ФЛЭТ</t>
        </is>
      </c>
      <c r="H9" s="65" t="inlineStr">
        <is>
          <t>ДА</t>
        </is>
      </c>
      <c r="I9" s="66" t="n">
        <v>5300</v>
      </c>
      <c r="J9" s="66" t="n">
        <v>4500</v>
      </c>
      <c r="K9" s="66" t="n">
        <v>9800</v>
      </c>
      <c r="L9" s="67" t="n">
        <v>32524</v>
      </c>
    </row>
    <row r="10" ht="18" customHeight="1">
      <c r="B10" s="68" t="n">
        <v>8</v>
      </c>
      <c r="C10" s="68" t="inlineStr">
        <is>
          <t>29.08.25</t>
        </is>
      </c>
      <c r="D10" s="68" t="inlineStr">
        <is>
          <t>29.08.25</t>
        </is>
      </c>
      <c r="E10" s="68" t="inlineStr">
        <is>
          <t>19.09.25</t>
        </is>
      </c>
      <c r="F10" s="68" t="n">
        <v>5.5</v>
      </c>
      <c r="G10" s="68" t="inlineStr">
        <is>
          <t>ФЛЭТ</t>
        </is>
      </c>
      <c r="H10" s="68" t="inlineStr">
        <is>
          <t>ДА</t>
        </is>
      </c>
      <c r="I10" s="66" t="n">
        <v>4600</v>
      </c>
      <c r="J10" s="66" t="n">
        <v>3900</v>
      </c>
      <c r="K10" s="66" t="n">
        <v>8500</v>
      </c>
      <c r="L10" s="67" t="n">
        <v>41024</v>
      </c>
    </row>
    <row r="11" ht="18" customHeight="1">
      <c r="B11" s="65" t="n">
        <v>9</v>
      </c>
      <c r="C11" s="65" t="inlineStr">
        <is>
          <t>19.09.25</t>
        </is>
      </c>
      <c r="D11" s="65" t="inlineStr">
        <is>
          <t>19.09.25</t>
        </is>
      </c>
      <c r="E11" s="65" t="inlineStr">
        <is>
          <t>10.10.25</t>
        </is>
      </c>
      <c r="F11" s="65" t="n">
        <v>6.9</v>
      </c>
      <c r="G11" s="65" t="inlineStr">
        <is>
          <t>НЕОПРЕД</t>
        </is>
      </c>
      <c r="H11" s="65" t="inlineStr">
        <is>
          <t>НЕТ</t>
        </is>
      </c>
      <c r="I11" s="66" t="n">
        <v>2800</v>
      </c>
      <c r="J11" s="69" t="n">
        <v>0</v>
      </c>
      <c r="K11" s="66" t="n">
        <v>2800</v>
      </c>
      <c r="L11" s="67" t="n">
        <v>43824</v>
      </c>
    </row>
    <row r="12" ht="18" customHeight="1">
      <c r="B12" s="68" t="n">
        <v>10</v>
      </c>
      <c r="C12" s="68" t="inlineStr">
        <is>
          <t>10.10.25</t>
        </is>
      </c>
      <c r="D12" s="68" t="inlineStr">
        <is>
          <t>10.10.25</t>
        </is>
      </c>
      <c r="E12" s="68" t="inlineStr">
        <is>
          <t>31.10.25</t>
        </is>
      </c>
      <c r="F12" s="68" t="n">
        <v>4.8</v>
      </c>
      <c r="G12" s="68" t="inlineStr">
        <is>
          <t>ФЛЭТ</t>
        </is>
      </c>
      <c r="H12" s="68" t="inlineStr">
        <is>
          <t>ДА</t>
        </is>
      </c>
      <c r="I12" s="66" t="n">
        <v>5000</v>
      </c>
      <c r="J12" s="66" t="n">
        <v>4100</v>
      </c>
      <c r="K12" s="66" t="n">
        <v>9100</v>
      </c>
      <c r="L12" s="67" t="n">
        <v>52924</v>
      </c>
    </row>
    <row r="13" ht="18" customHeight="1">
      <c r="B13" s="65" t="n">
        <v>11</v>
      </c>
      <c r="C13" s="65" t="inlineStr">
        <is>
          <t>31.10.25</t>
        </is>
      </c>
      <c r="D13" s="65" t="inlineStr">
        <is>
          <t>31.10.25</t>
        </is>
      </c>
      <c r="E13" s="65" t="inlineStr">
        <is>
          <t>21.11.25</t>
        </is>
      </c>
      <c r="F13" s="65" t="n">
        <v>5</v>
      </c>
      <c r="G13" s="65" t="inlineStr">
        <is>
          <t>ФЛЭТ</t>
        </is>
      </c>
      <c r="H13" s="65" t="inlineStr">
        <is>
          <t>ДА</t>
        </is>
      </c>
      <c r="I13" s="66" t="n">
        <v>4900</v>
      </c>
      <c r="J13" s="66" t="n">
        <v>4100</v>
      </c>
      <c r="K13" s="66" t="n">
        <v>9000</v>
      </c>
      <c r="L13" s="67" t="n">
        <v>61924</v>
      </c>
    </row>
    <row r="14">
      <c r="B14" s="51" t="inlineStr">
        <is>
          <t>ИТОГО:</t>
        </is>
      </c>
      <c r="C14" s="52" t="n"/>
      <c r="J14" s="71">
        <f>СУММ(J3:J13)</f>
        <v/>
      </c>
      <c r="K14" s="72" t="inlineStr">
        <is>
          <t>Win Rate:</t>
        </is>
      </c>
    </row>
  </sheetData>
  <mergeCells count="3">
    <mergeCell ref="C14:I14"/>
    <mergeCell ref="K14:L14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A83232"/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28" customHeight="1">
      <c r="B1" s="34" t="inlineStr">
        <is>
          <t>🗺️  КАРТА ПРИНЯТИЯ РЕШЕНИЙ — ЧТО ДЕЛАТЬ В КАЖДОМ РЕЖИМЕ</t>
        </is>
      </c>
    </row>
    <row r="2" ht="25" customHeight="1">
      <c r="B2" s="35" t="inlineStr">
        <is>
          <t>ДЕЙСТВИЕ</t>
        </is>
      </c>
      <c r="C2" s="73" t="inlineStr">
        <is>
          <t>ФЛЭТ</t>
        </is>
      </c>
      <c r="D2" s="74" t="inlineStr">
        <is>
          <t>НЕОПРЕД.</t>
        </is>
      </c>
      <c r="E2" s="75" t="inlineStr">
        <is>
          <t>ТРЕНД ▲</t>
        </is>
      </c>
      <c r="F2" s="75" t="inlineStr">
        <is>
          <t>ТРЕНД ▼</t>
        </is>
      </c>
    </row>
    <row r="5" ht="22" customHeight="1">
      <c r="B5" s="5" t="inlineStr">
        <is>
          <t>Вход в кондор (Фаза 1)</t>
        </is>
      </c>
      <c r="C5" s="76" t="inlineStr">
        <is>
          <t>✅ ДА</t>
        </is>
      </c>
      <c r="D5" s="77" t="inlineStr">
        <is>
          <t>⚠️ 50%</t>
        </is>
      </c>
      <c r="E5" s="78" t="inlineStr">
        <is>
          <t>❌ НЕТ</t>
        </is>
      </c>
      <c r="F5" s="78" t="inlineStr">
        <is>
          <t>❌ НЕТ</t>
        </is>
      </c>
    </row>
    <row r="6" ht="22" customHeight="1">
      <c r="B6" s="5" t="inlineStr">
        <is>
          <t>Держать позицию</t>
        </is>
      </c>
      <c r="C6" s="76" t="inlineStr">
        <is>
          <t>✅ ДА</t>
        </is>
      </c>
      <c r="D6" s="79" t="inlineStr">
        <is>
          <t>✅ ДА</t>
        </is>
      </c>
      <c r="E6" s="80" t="inlineStr">
        <is>
          <t>⚠️ ДА</t>
        </is>
      </c>
      <c r="F6" s="80" t="inlineStr">
        <is>
          <t>⚠️ ДА</t>
        </is>
      </c>
    </row>
    <row r="7" ht="22" customHeight="1">
      <c r="B7" s="5" t="inlineStr">
        <is>
          <t>Продать CALL</t>
        </is>
      </c>
      <c r="C7" s="76" t="inlineStr">
        <is>
          <t>✅ 50-70%</t>
        </is>
      </c>
      <c r="D7" s="81" t="inlineStr">
        <is>
          <t>❌ НЕТ</t>
        </is>
      </c>
      <c r="E7" s="78" t="inlineStr">
        <is>
          <t>❌ НЕТ</t>
        </is>
      </c>
      <c r="F7" s="82" t="inlineStr">
        <is>
          <t>✅ ДА</t>
        </is>
      </c>
    </row>
    <row r="8" ht="22" customHeight="1">
      <c r="B8" s="5" t="inlineStr">
        <is>
          <t>Продать PUT</t>
        </is>
      </c>
      <c r="C8" s="76" t="inlineStr">
        <is>
          <t>✅ 50-70%</t>
        </is>
      </c>
      <c r="D8" s="81" t="inlineStr">
        <is>
          <t>❌ НЕТ</t>
        </is>
      </c>
      <c r="E8" s="82" t="inlineStr">
        <is>
          <t>✅ ДА</t>
        </is>
      </c>
      <c r="F8" s="78" t="inlineStr">
        <is>
          <t>❌ НЕТ</t>
        </is>
      </c>
    </row>
    <row r="9" ht="22" customHeight="1">
      <c r="B9" s="5" t="inlineStr">
        <is>
          <t>Roll: откуп 330, продажа 315</t>
        </is>
      </c>
      <c r="C9" s="76" t="inlineStr">
        <is>
          <t>✅ Если 8+ дней</t>
        </is>
      </c>
      <c r="D9" s="81" t="inlineStr">
        <is>
          <t>❌ НЕТ</t>
        </is>
      </c>
      <c r="E9" s="78" t="inlineStr">
        <is>
          <t>❌ НЕТ</t>
        </is>
      </c>
      <c r="F9" s="78" t="inlineStr">
        <is>
          <t>❌ НЕТ</t>
        </is>
      </c>
    </row>
    <row r="10" ht="22" customHeight="1">
      <c r="B10" s="5" t="inlineStr">
        <is>
          <t>Дать акциям расти</t>
        </is>
      </c>
      <c r="C10" s="83" t="inlineStr">
        <is>
          <t>⚠️ ДА</t>
        </is>
      </c>
      <c r="D10" s="77" t="inlineStr">
        <is>
          <t>⚠️ ДА</t>
        </is>
      </c>
      <c r="E10" s="82" t="inlineStr">
        <is>
          <t>✅ ДА</t>
        </is>
      </c>
      <c r="F10" s="78" t="inlineStr">
        <is>
          <t>❌ НЕТ</t>
        </is>
      </c>
    </row>
    <row r="11" ht="22" customHeight="1">
      <c r="B11" s="5" t="inlineStr">
        <is>
          <t>Сокращать риск</t>
        </is>
      </c>
      <c r="C11" s="84" t="inlineStr">
        <is>
          <t>❌ НЕТ</t>
        </is>
      </c>
      <c r="D11" s="77" t="inlineStr">
        <is>
          <t>⚠️ ЖДАТЬ</t>
        </is>
      </c>
      <c r="E11" s="80" t="inlineStr">
        <is>
          <t>⚠️ ДА</t>
        </is>
      </c>
      <c r="F11" s="82" t="inlineStr">
        <is>
          <t>✅ ДА</t>
        </is>
      </c>
    </row>
    <row r="12" ht="22" customHeight="1">
      <c r="B12" s="5" t="inlineStr">
        <is>
          <t>Страйк CALL продажи</t>
        </is>
      </c>
      <c r="C12" s="83" t="inlineStr">
        <is>
          <t>+10-12 р</t>
        </is>
      </c>
      <c r="D12" s="77" t="inlineStr">
        <is>
          <t>+15-20 р</t>
        </is>
      </c>
      <c r="E12" s="80" t="inlineStr">
        <is>
          <t>Н/Д</t>
        </is>
      </c>
      <c r="F12" s="80" t="inlineStr">
        <is>
          <t>ATM</t>
        </is>
      </c>
    </row>
    <row r="13" ht="22" customHeight="1">
      <c r="B13" s="5" t="inlineStr">
        <is>
          <t>Страйк PUT продажи</t>
        </is>
      </c>
      <c r="C13" s="83" t="inlineStr">
        <is>
          <t>-10-12 р</t>
        </is>
      </c>
      <c r="D13" s="77" t="inlineStr">
        <is>
          <t>-15-20 р</t>
        </is>
      </c>
      <c r="E13" s="80" t="inlineStr">
        <is>
          <t>ATM</t>
        </is>
      </c>
      <c r="F13" s="80" t="inlineStr">
        <is>
          <t>Н/Д</t>
        </is>
      </c>
    </row>
    <row r="14" ht="22" customHeight="1">
      <c r="B14" s="25" t="inlineStr">
        <is>
          <t>🚫  ЖЁСТКИЕ ЗАПРЕТЫ</t>
        </is>
      </c>
    </row>
    <row r="15" ht="20" customHeight="1">
      <c r="B15" s="26" t="inlineStr">
        <is>
          <t>❌  R &gt; 12 → НЕ ТОРГОВАТЬ</t>
        </is>
      </c>
    </row>
    <row r="16" ht="20" customHeight="1">
      <c r="B16" s="26" t="inlineStr">
        <is>
          <t>❌  После падения &gt; 10 р → НЕ продавать PUT 2 дня</t>
        </is>
      </c>
    </row>
    <row r="17" ht="20" customHeight="1">
      <c r="B17" s="26" t="inlineStr">
        <is>
          <t>❌  После роста &gt; 10 р → НЕ продавать CALL 1-2 дня</t>
        </is>
      </c>
    </row>
    <row r="18" ht="20" customHeight="1">
      <c r="B18" s="26" t="inlineStr">
        <is>
          <t>❌  Перед дивидендами/отчётом → НЕ входить</t>
        </is>
      </c>
    </row>
    <row r="19" ht="20" customHeight="1">
      <c r="B19" s="26" t="inlineStr">
        <is>
          <t>❌  Цена у страйка → Частично закрыть позицию</t>
        </is>
      </c>
    </row>
    <row r="20" ht="20" customHeight="1">
      <c r="B20" s="26" t="inlineStr">
        <is>
          <t>❌  P&amp;L &gt;= 70% → Закрыть все ноги</t>
        </is>
      </c>
    </row>
    <row r="21" ht="20" customHeight="1">
      <c r="B21" s="26" t="inlineStr">
        <is>
          <t>❌  За 2 дня до экспирации → Закрыть ВСЁ</t>
        </is>
      </c>
    </row>
    <row r="22" ht="20" customHeight="1">
      <c r="B22" s="26" t="inlineStr">
        <is>
          <t>❌  Объём продажи → НЕ БОЛЕЕ 70% от позиции</t>
        </is>
      </c>
    </row>
  </sheetData>
  <mergeCells count="10">
    <mergeCell ref="B21:F21"/>
    <mergeCell ref="B16:F16"/>
    <mergeCell ref="B20:F20"/>
    <mergeCell ref="B15:F15"/>
    <mergeCell ref="B19:F19"/>
    <mergeCell ref="B1:F1"/>
    <mergeCell ref="B14:F14"/>
    <mergeCell ref="B22:F22"/>
    <mergeCell ref="B17:F17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B1:B48"/>
  <sheetViews>
    <sheetView workbookViewId="0">
      <selection activeCell="A1" sqref="A1"/>
    </sheetView>
  </sheetViews>
  <sheetFormatPr baseColWidth="8" defaultRowHeight="15"/>
  <cols>
    <col width="2" customWidth="1" min="1" max="1"/>
    <col width="80" customWidth="1" min="2" max="2"/>
    <col width="2" customWidth="1" min="3" max="3"/>
  </cols>
  <sheetData>
    <row r="1" ht="30" customHeight="1">
      <c r="B1" s="85" t="inlineStr">
        <is>
          <t>📖  РУКОВОДСТВО ПОЛЬЗОВАТЕЛЯ — ГИБРИДНЫЙ КОНДОР v2 SBER</t>
        </is>
      </c>
    </row>
    <row r="2" ht="20" customHeight="1">
      <c r="B2" s="86" t="inlineStr"/>
    </row>
    <row r="3" ht="25" customHeight="1">
      <c r="B3" s="87" t="inlineStr">
        <is>
          <t>🗂️  СОСТАВ ФАЙЛА</t>
        </is>
      </c>
    </row>
    <row r="4" ht="20" customHeight="1">
      <c r="B4" s="88" t="inlineStr">
        <is>
          <t xml:space="preserve">  Дашборд:   Центральная панель. Вводи рыночные данные, получай сигнал за 10 сек.</t>
        </is>
      </c>
    </row>
    <row r="5" ht="20" customHeight="1">
      <c r="B5" s="89" t="inlineStr">
        <is>
          <t xml:space="preserve">  Журнал:   Ежедневный журнал. Вводи дату + OHLC + IV. Режим и сигналы — авто.</t>
        </is>
      </c>
    </row>
    <row r="6" ht="20" customHeight="1">
      <c r="B6" s="88" t="inlineStr">
        <is>
          <t xml:space="preserve">  Калькулятор:   BS-цены ног + профиль P&amp;L при экспирации. Вводи параметры → авто.</t>
        </is>
      </c>
    </row>
    <row r="7" ht="20" customHeight="1">
      <c r="B7" s="89" t="inlineStr">
        <is>
          <t xml:space="preserve">  Циклы:   История 11 реальных циклов бэктеста. Добавляй новые строки снизу.</t>
        </is>
      </c>
    </row>
    <row r="8" ht="20" customHeight="1">
      <c r="B8" s="88" t="inlineStr">
        <is>
          <t xml:space="preserve">  Карта решений:   Матрица: что делать в каждом режиме. Читай перед торговлей.</t>
        </is>
      </c>
    </row>
    <row r="9" ht="20" customHeight="1">
      <c r="B9" s="86" t="inlineStr"/>
    </row>
    <row r="10" ht="25" customHeight="1">
      <c r="B10" s="87" t="inlineStr">
        <is>
          <t>📝  ЕЖЕДНЕВНЫЙ АЛГОРИТМ (9 шагов)</t>
        </is>
      </c>
    </row>
    <row r="11" ht="20" customHeight="1">
      <c r="B11" s="89" t="inlineStr">
        <is>
          <t xml:space="preserve">  Шаг 1:   Открой лист «Дашборд'</t>
        </is>
      </c>
    </row>
    <row r="12" ht="20" customHeight="1">
      <c r="B12" s="88" t="inlineStr">
        <is>
          <t xml:space="preserve">  Шаг 2:   В блоке РЫНОЧНЫЕ ДАННЫЕ введи: Close / High / Low / PrevClose — дневные цены акции SBER. IV — имплайд-волатильность ATM-опциона SBER (из терминала).</t>
        </is>
      </c>
    </row>
    <row r="13" ht="20" customHeight="1">
      <c r="B13" s="89" t="inlineStr">
        <is>
          <t xml:space="preserve">  Шаг 3:   Прочитай ячейку РЕЖИМ РЫНКА: ФЛЭТ / НЕОПРЕД. / ТРЕНД ▲ / ТРЕНД ▼</t>
        </is>
      </c>
    </row>
    <row r="14" ht="20" customHeight="1">
      <c r="B14" s="88" t="inlineStr">
        <is>
          <t xml:space="preserve">  Шаг 4:   Прочитай сигналы: Продавать CALL? / Продавать PUT? → зелёный = действуй</t>
        </is>
      </c>
    </row>
    <row r="15" ht="20" customHeight="1">
      <c r="B15" s="89" t="inlineStr">
        <is>
          <t xml:space="preserve">  Шаг 5:   Проверь счётчик флэт-дней (C21). Если &gt;= 8 → активируй Roll (откуп CALL 330 + продажа CALL 315).</t>
        </is>
      </c>
    </row>
    <row r="16" ht="20" customHeight="1">
      <c r="B16" s="88" t="inlineStr">
        <is>
          <t xml:space="preserve">  Шаг 6:   Проверь жёсткие запреты. Если R &gt; 12 → НЕ ТОРГОВАТЬ.</t>
        </is>
      </c>
    </row>
    <row r="17" ht="20" customHeight="1">
      <c r="B17" s="89" t="inlineStr">
        <is>
          <t xml:space="preserve">  Шаг 7:   Введи итог дня в «Журнал»: дата + OHLC + IV + P&amp;L от закрытых ног.</t>
        </is>
      </c>
    </row>
    <row r="18" ht="20" customHeight="1">
      <c r="B18" s="88" t="inlineStr">
        <is>
          <t xml:space="preserve">  Шаг 8:   Проверь P&amp;L (C29 на дашборде). Если &gt;= 70% → закрывай ноги.</t>
        </is>
      </c>
    </row>
    <row r="19" ht="20" customHeight="1">
      <c r="B19" s="89" t="inlineStr">
        <is>
          <t xml:space="preserve">  Шаг 9:   За 2 дня до экспирации — закрыть все опционные позиции.</t>
        </is>
      </c>
    </row>
    <row r="20" ht="20" customHeight="1">
      <c r="B20" s="86" t="inlineStr"/>
    </row>
    <row r="21" ht="25" customHeight="1">
      <c r="B21" s="87" t="inlineStr">
        <is>
          <t>📊  ЧТО ВВОДИТЬ В РЫНОЧНЫЕ ДАННЫЕ</t>
        </is>
      </c>
    </row>
    <row r="22" ht="20" customHeight="1">
      <c r="B22" s="88" t="inlineStr">
        <is>
          <t xml:space="preserve">  Close:   Цена закрытия акции SBER за текущий торговый день (последняя сделка, 18:50 МСК)</t>
        </is>
      </c>
    </row>
    <row r="23" ht="20" customHeight="1">
      <c r="B23" s="89" t="inlineStr">
        <is>
          <t xml:space="preserve">  High:   Максимум акции SBER за текущий торговый день</t>
        </is>
      </c>
    </row>
    <row r="24" ht="20" customHeight="1">
      <c r="B24" s="88" t="inlineStr">
        <is>
          <t xml:space="preserve">  Low:   Минимум акции SBER за текущий торговый день</t>
        </is>
      </c>
    </row>
    <row r="25" ht="20" customHeight="1">
      <c r="B25" s="89" t="inlineStr">
        <is>
          <t xml:space="preserve">  PrevClose:   Цена закрытия акции SBER за ПРЕДЫДУЩИЙ торговый день</t>
        </is>
      </c>
    </row>
    <row r="26" ht="20" customHeight="1">
      <c r="B26" s="88" t="inlineStr">
        <is>
          <t xml:space="preserve">  IV %:   Имплайд-волатильность ближайших ATM-опционов SBER в % (напр. 8.9). Берётся из опционной доски в QUIK / Tinkoff / MOEX сайт.</t>
        </is>
      </c>
    </row>
    <row r="27" ht="20" customHeight="1">
      <c r="B27" s="90" t="inlineStr">
        <is>
          <t xml:space="preserve">  ⚠️ ВАЖНО:   НЕ вводить цены опционов. НЕ вводить часовые данные. Только дневные OHLC акции SBER.</t>
        </is>
      </c>
    </row>
    <row r="28" ht="20" customHeight="1">
      <c r="B28" s="86" t="inlineStr"/>
    </row>
    <row r="29" ht="25" customHeight="1">
      <c r="B29" s="87" t="inlineStr">
        <is>
          <t>🔧  ФОРМУЛЫ</t>
        </is>
      </c>
    </row>
    <row r="30" ht="20" customHeight="1">
      <c r="B30" s="88" t="inlineStr">
        <is>
          <t xml:space="preserve">  R = High − Low:   Дневной диапазон. Показывает волатильность дня.</t>
        </is>
      </c>
    </row>
    <row r="31" ht="20" customHeight="1">
      <c r="B31" s="89" t="inlineStr">
        <is>
          <t xml:space="preserve">  Momentum = Close − PrevClose:   Направление движения за день.</t>
        </is>
      </c>
    </row>
    <row r="32" ht="20" customHeight="1">
      <c r="B32" s="88" t="inlineStr">
        <is>
          <t xml:space="preserve">  Δ = |Close − Центр|:   Отклонение цены от центрального страйка (317).</t>
        </is>
      </c>
    </row>
    <row r="33" ht="20" customHeight="1">
      <c r="B33" s="89" t="inlineStr">
        <is>
          <t xml:space="preserve">  ФЛЭТ:   Если R &lt; 6 И |Momentum| &lt; 3 И Δ &lt; 3 → продавать, Roll — разрешён.</t>
        </is>
      </c>
    </row>
    <row r="34" ht="20" customHeight="1">
      <c r="B34" s="88" t="inlineStr">
        <is>
          <t xml:space="preserve">  НЕОПРЕД.:   R = 6-10 или Momentum 3-6 → ждать, не продавать центр.</t>
        </is>
      </c>
    </row>
    <row r="35" ht="20" customHeight="1">
      <c r="B35" s="89" t="inlineStr">
        <is>
          <t xml:space="preserve">  ТРЕНД:   R &gt; 10 или Momentum &gt; 6 → не продавать в сторону тренда.</t>
        </is>
      </c>
    </row>
    <row r="36" ht="20" customHeight="1">
      <c r="B36" s="86" t="inlineStr"/>
    </row>
    <row r="37" ht="25" customHeight="1">
      <c r="B37" s="87" t="inlineStr">
        <is>
          <t>💡  BS-КАЛЬКУЛЯТОР</t>
        </is>
      </c>
    </row>
    <row r="38" ht="20" customHeight="1">
      <c r="B38" s="88" t="inlineStr">
        <is>
          <t xml:space="preserve">  σ (IV):   Введи как дробь: 8.9% → 0.089</t>
        </is>
      </c>
    </row>
    <row r="39" ht="20" customHeight="1">
      <c r="B39" s="89" t="inlineStr">
        <is>
          <t xml:space="preserve">  r (ставка):   Ключевая ставка ЦБ как дробь: 16% → 0.16</t>
        </is>
      </c>
    </row>
    <row r="40" ht="20" customHeight="1">
      <c r="B40" s="88" t="inlineStr">
        <is>
          <t xml:space="preserve">  T (дни):   Количество календарных дней до экспирации. Файл сам пересчитает в годы.</t>
        </is>
      </c>
    </row>
    <row r="41" ht="20" customHeight="1">
      <c r="B41" s="89" t="inlineStr">
        <is>
          <t xml:space="preserve">  Формула:   Black-Scholes на русских функциях Excel: НОРМ.СТ.РАСП / ЛН / КОРЕНЬ / ЕХР.</t>
        </is>
      </c>
    </row>
    <row r="42" ht="20" customHeight="1">
      <c r="B42" s="86" t="inlineStr"/>
    </row>
    <row r="43" ht="25" customHeight="1">
      <c r="B43" s="87" t="inlineStr">
        <is>
          <t>⚠️  СОВМЕСТИМОСТЬ</t>
        </is>
      </c>
    </row>
    <row r="44" ht="20" customHeight="1">
      <c r="B44" s="91" t="inlineStr">
        <is>
          <t xml:space="preserve">  Excel для Windows:   ✅ Полная поддержка всех формул. Рекомендуется Excel 2016+.</t>
        </is>
      </c>
    </row>
    <row r="45" ht="20" customHeight="1">
      <c r="B45" s="90" t="inlineStr">
        <is>
          <t xml:space="preserve">  Excel для Mac:   ✅ Поддерживается. НОРМ.СТ.РАСП работает.</t>
        </is>
      </c>
    </row>
    <row r="46" ht="20" customHeight="1">
      <c r="B46" s="91" t="inlineStr">
        <is>
          <t xml:space="preserve">  LibreOffice Calc:   ✅ Работает. Функции NORMDIST = НОРМ.СТ.РАСП в русской версии.</t>
        </is>
      </c>
    </row>
    <row r="47" ht="20" customHeight="1">
      <c r="B47" s="89" t="inlineStr">
        <is>
          <t xml:space="preserve">  Excel мобильный:   ⚠️ Формулы работают в режиме чтения. Для ввода данных рекомендуется десктоп.</t>
        </is>
      </c>
    </row>
    <row r="48" ht="20" customHeight="1">
      <c r="B48" s="88" t="inlineStr">
        <is>
          <t xml:space="preserve">  Google Sheets:   ⚠️ Формулы потребуют замены на NORM.S.DIST (английские названия).</t>
        </is>
      </c>
    </row>
  </sheetData>
  <mergeCells count="1">
    <mergeCell ref="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B1:B107"/>
  <sheetViews>
    <sheetView workbookViewId="0">
      <selection activeCell="A1" sqref="A1"/>
    </sheetView>
  </sheetViews>
  <sheetFormatPr baseColWidth="8" defaultRowHeight="15"/>
  <cols>
    <col width="2" customWidth="1" min="1" max="1"/>
    <col width="90" customWidth="1" min="2" max="2"/>
    <col width="2" customWidth="1" min="3" max="3"/>
  </cols>
  <sheetData>
    <row r="1" ht="28" customHeight="1">
      <c r="B1" s="92" t="inlineStr">
        <is>
          <t>🔘  КОД VBA ДЛЯ КНОПОК — скопируй в редактор макросов Excel (Alt+F11)</t>
        </is>
      </c>
    </row>
    <row r="2" ht="16" customHeight="1">
      <c r="B2" s="93" t="inlineStr">
        <is>
          <t>' ═══════════════════════════════════════════════════</t>
        </is>
      </c>
    </row>
    <row r="3" ht="16" customHeight="1">
      <c r="B3" s="93" t="inlineStr">
        <is>
          <t xml:space="preserve">' КНОПКА 1: "Обновить данные" — копирует E7:E11 </t>
        </is>
      </c>
    </row>
    <row r="4" ht="16" customHeight="1">
      <c r="B4" s="93" t="inlineStr">
        <is>
          <t>' с листа Дашборд в следующую свободную строку Журнала</t>
        </is>
      </c>
    </row>
    <row r="5" ht="16" customHeight="1">
      <c r="B5" s="93" t="inlineStr">
        <is>
          <t>' ═══════════════════════════════════════════════════</t>
        </is>
      </c>
    </row>
    <row r="6" ht="16" customHeight="1">
      <c r="B6" s="94" t="inlineStr">
        <is>
          <t>Sub ОбновитьДанные()</t>
        </is>
      </c>
    </row>
    <row r="7" ht="16" customHeight="1">
      <c r="B7" s="95" t="inlineStr">
        <is>
          <t xml:space="preserve">    Dim wsDash As Worksheet</t>
        </is>
      </c>
    </row>
    <row r="8" ht="16" customHeight="1">
      <c r="B8" s="95" t="inlineStr">
        <is>
          <t xml:space="preserve">    Dim wsJourn As Worksheet</t>
        </is>
      </c>
    </row>
    <row r="9" ht="16" customHeight="1">
      <c r="B9" s="95" t="inlineStr">
        <is>
          <t xml:space="preserve">    Dim nextRow As Long</t>
        </is>
      </c>
    </row>
    <row r="10" ht="16" customHeight="1">
      <c r="B10" s="95" t="inlineStr"/>
    </row>
    <row r="11" ht="16" customHeight="1">
      <c r="B11" s="95" t="inlineStr">
        <is>
          <t xml:space="preserve">    Set wsDash = ThisWorkbook.Sheets("Дашборд")</t>
        </is>
      </c>
    </row>
    <row r="12" ht="16" customHeight="1">
      <c r="B12" s="95" t="inlineStr">
        <is>
          <t xml:space="preserve">    Set wsJourn = ThisWorkbook.Sheets("Журнал")</t>
        </is>
      </c>
    </row>
    <row r="13" ht="16" customHeight="1">
      <c r="B13" s="95" t="inlineStr"/>
    </row>
    <row r="14" ht="16" customHeight="1">
      <c r="B14" s="95" t="inlineStr">
        <is>
          <t xml:space="preserve">    ' Найти первую пустую строку в Журнале (начиная с 4)</t>
        </is>
      </c>
    </row>
    <row r="15" ht="16" customHeight="1">
      <c r="B15" s="95" t="inlineStr">
        <is>
          <t xml:space="preserve">    nextRow = 4</t>
        </is>
      </c>
    </row>
    <row r="16" ht="16" customHeight="1">
      <c r="B16" s="95" t="inlineStr">
        <is>
          <t xml:space="preserve">    Do While wsJourn.Cells(nextRow, 2).Value &lt;&gt; ""</t>
        </is>
      </c>
    </row>
    <row r="17" ht="16" customHeight="1">
      <c r="B17" s="95" t="inlineStr">
        <is>
          <t xml:space="preserve">        nextRow = nextRow + 1</t>
        </is>
      </c>
    </row>
    <row r="18" ht="16" customHeight="1">
      <c r="B18" s="95" t="inlineStr">
        <is>
          <t xml:space="preserve">        If nextRow &gt; 63 Then</t>
        </is>
      </c>
    </row>
    <row r="19" ht="16" customHeight="1">
      <c r="B19" s="95" t="inlineStr">
        <is>
          <t xml:space="preserve">            MsgBox "Журнал заполнен! Очистите старые строки.", vbExclamation</t>
        </is>
      </c>
    </row>
    <row r="20" ht="16" customHeight="1">
      <c r="B20" s="95" t="inlineStr">
        <is>
          <t xml:space="preserve">            Exit Sub</t>
        </is>
      </c>
    </row>
    <row r="21" ht="16" customHeight="1">
      <c r="B21" s="95" t="inlineStr">
        <is>
          <t xml:space="preserve">        End If</t>
        </is>
      </c>
    </row>
    <row r="22" ht="16" customHeight="1">
      <c r="B22" s="95" t="inlineStr">
        <is>
          <t xml:space="preserve">    Loop</t>
        </is>
      </c>
    </row>
    <row r="23" ht="16" customHeight="1">
      <c r="B23" s="95" t="inlineStr"/>
    </row>
    <row r="24" ht="16" customHeight="1">
      <c r="B24" s="95" t="inlineStr">
        <is>
          <t xml:space="preserve">    ' Записать дату</t>
        </is>
      </c>
    </row>
    <row r="25" ht="16" customHeight="1">
      <c r="B25" s="95" t="inlineStr">
        <is>
          <t xml:space="preserve">    wsJourn.Cells(nextRow, 2).Value = wsDash.Range("E6").Value</t>
        </is>
      </c>
    </row>
    <row r="26" ht="16" customHeight="1">
      <c r="B26" s="95" t="inlineStr">
        <is>
          <t xml:space="preserve">    wsJourn.Cells(nextRow, 2).NumberFormat = "DD.MM.YY"</t>
        </is>
      </c>
    </row>
    <row r="27" ht="16" customHeight="1">
      <c r="B27" s="95" t="inlineStr"/>
    </row>
    <row r="28" ht="16" customHeight="1">
      <c r="B28" s="95" t="inlineStr">
        <is>
          <t xml:space="preserve">    ' Close, High, Low, PrevClose, IV</t>
        </is>
      </c>
    </row>
    <row r="29" ht="16" customHeight="1">
      <c r="B29" s="95" t="inlineStr">
        <is>
          <t xml:space="preserve">    wsJourn.Cells(nextRow, 3).Value = wsDash.Range("E7").Value  ' Close</t>
        </is>
      </c>
    </row>
    <row r="30" ht="16" customHeight="1">
      <c r="B30" s="95" t="inlineStr">
        <is>
          <t xml:space="preserve">    wsJourn.Cells(nextRow, 4).Value = wsDash.Range("E8").Value  ' High</t>
        </is>
      </c>
    </row>
    <row r="31" ht="16" customHeight="1">
      <c r="B31" s="95" t="inlineStr">
        <is>
          <t xml:space="preserve">    wsJourn.Cells(nextRow, 5).Value = wsDash.Range("E9").Value  ' Low</t>
        </is>
      </c>
    </row>
    <row r="32" ht="16" customHeight="1">
      <c r="B32" s="95" t="inlineStr">
        <is>
          <t xml:space="preserve">    wsJourn.Cells(nextRow, 6).Value = wsDash.Range("E10").Value ' PrevClose</t>
        </is>
      </c>
    </row>
    <row r="33" ht="16" customHeight="1">
      <c r="B33" s="95" t="inlineStr">
        <is>
          <t xml:space="preserve">    wsJourn.Cells(nextRow, 7).Value = wsDash.Range("E11").Value ' IV</t>
        </is>
      </c>
    </row>
    <row r="34" ht="16" customHeight="1">
      <c r="B34" s="95" t="inlineStr"/>
    </row>
    <row r="35" ht="16" customHeight="1">
      <c r="B35" s="95" t="inlineStr">
        <is>
          <t xml:space="preserve">    ' Активируем лист журнала и переходим к новой строке</t>
        </is>
      </c>
    </row>
    <row r="36" ht="16" customHeight="1">
      <c r="B36" s="95" t="inlineStr">
        <is>
          <t xml:space="preserve">    wsJourn.Activate</t>
        </is>
      </c>
    </row>
    <row r="37" ht="16" customHeight="1">
      <c r="B37" s="95" t="inlineStr">
        <is>
          <t xml:space="preserve">    wsJourn.Cells(nextRow, 2).Select</t>
        </is>
      </c>
    </row>
    <row r="38" ht="16" customHeight="1">
      <c r="B38" s="95" t="inlineStr"/>
    </row>
    <row r="39" ht="16" customHeight="1">
      <c r="B39" s="95" t="inlineStr">
        <is>
          <t xml:space="preserve">    MsgBox "✅ Данные за " &amp; Format(wsDash.Range("E6").Value, "DD.MM.YYYY") &amp; " добавлены в Журнал (строка " &amp; nextRow &amp; ").", vbInformation</t>
        </is>
      </c>
    </row>
    <row r="40" ht="16" customHeight="1">
      <c r="B40" s="94" t="inlineStr">
        <is>
          <t>End Sub</t>
        </is>
      </c>
    </row>
    <row r="41" ht="16" customHeight="1">
      <c r="B41" s="95" t="inlineStr"/>
    </row>
    <row r="42" ht="16" customHeight="1">
      <c r="B42" s="93" t="inlineStr">
        <is>
          <t>' ═══════════════════════════════════════════════════</t>
        </is>
      </c>
    </row>
    <row r="43" ht="16" customHeight="1">
      <c r="B43" s="93" t="inlineStr">
        <is>
          <t xml:space="preserve">' КНОПКА 2: "Записать P&amp;L" — дозаписывает P&amp;L </t>
        </is>
      </c>
    </row>
    <row r="44" ht="16" customHeight="1">
      <c r="B44" s="93" t="inlineStr">
        <is>
          <t>' в последнюю заполненную строку Журнала</t>
        </is>
      </c>
    </row>
    <row r="45" ht="16" customHeight="1">
      <c r="B45" s="93" t="inlineStr">
        <is>
          <t>' ═══════════════════════════════════════════════════</t>
        </is>
      </c>
    </row>
    <row r="46" ht="16" customHeight="1">
      <c r="B46" s="94" t="inlineStr">
        <is>
          <t>Sub ЗаписатьPnL()</t>
        </is>
      </c>
    </row>
    <row r="47" ht="16" customHeight="1">
      <c r="B47" s="95" t="inlineStr">
        <is>
          <t xml:space="preserve">    Dim wsDash As Worksheet</t>
        </is>
      </c>
    </row>
    <row r="48" ht="16" customHeight="1">
      <c r="B48" s="95" t="inlineStr">
        <is>
          <t xml:space="preserve">    Dim wsJourn As Worksheet</t>
        </is>
      </c>
    </row>
    <row r="49" ht="16" customHeight="1">
      <c r="B49" s="95" t="inlineStr">
        <is>
          <t xml:space="preserve">    Dim lastRow As Long</t>
        </is>
      </c>
    </row>
    <row r="50" ht="16" customHeight="1">
      <c r="B50" s="95" t="inlineStr"/>
    </row>
    <row r="51" ht="16" customHeight="1">
      <c r="B51" s="95" t="inlineStr">
        <is>
          <t xml:space="preserve">    Set wsDash = ThisWorkbook.Sheets("Дашборд")</t>
        </is>
      </c>
    </row>
    <row r="52" ht="16" customHeight="1">
      <c r="B52" s="95" t="inlineStr">
        <is>
          <t xml:space="preserve">    Set wsJourn = ThisWorkbook.Sheets("Журнал")</t>
        </is>
      </c>
    </row>
    <row r="53" ht="16" customHeight="1">
      <c r="B53" s="95" t="inlineStr"/>
    </row>
    <row r="54" ht="16" customHeight="1">
      <c r="B54" s="95" t="inlineStr">
        <is>
          <t xml:space="preserve">    ' Найти последнюю заполненную строку</t>
        </is>
      </c>
    </row>
    <row r="55" ht="16" customHeight="1">
      <c r="B55" s="95" t="inlineStr">
        <is>
          <t xml:space="preserve">    lastRow = 63</t>
        </is>
      </c>
    </row>
    <row r="56" ht="16" customHeight="1">
      <c r="B56" s="95" t="inlineStr">
        <is>
          <t xml:space="preserve">    Do While wsJourn.Cells(lastRow, 2).Value = "" And lastRow &gt; 3</t>
        </is>
      </c>
    </row>
    <row r="57" ht="16" customHeight="1">
      <c r="B57" s="95" t="inlineStr">
        <is>
          <t xml:space="preserve">        lastRow = lastRow - 1</t>
        </is>
      </c>
    </row>
    <row r="58" ht="16" customHeight="1">
      <c r="B58" s="95" t="inlineStr">
        <is>
          <t xml:space="preserve">    Loop</t>
        </is>
      </c>
    </row>
    <row r="59" ht="16" customHeight="1">
      <c r="B59" s="95" t="inlineStr"/>
    </row>
    <row r="60" ht="16" customHeight="1">
      <c r="B60" s="95" t="inlineStr">
        <is>
          <t xml:space="preserve">    If lastRow &lt; 4 Then</t>
        </is>
      </c>
    </row>
    <row r="61" ht="16" customHeight="1">
      <c r="B61" s="95" t="inlineStr">
        <is>
          <t xml:space="preserve">        MsgBox "Журнал пуст. Сначала нажмите 'Обновить данные'.", vbExclamation</t>
        </is>
      </c>
    </row>
    <row r="62" ht="16" customHeight="1">
      <c r="B62" s="95" t="inlineStr">
        <is>
          <t xml:space="preserve">        Exit Sub</t>
        </is>
      </c>
    </row>
    <row r="63" ht="16" customHeight="1">
      <c r="B63" s="95" t="inlineStr">
        <is>
          <t xml:space="preserve">    End If</t>
        </is>
      </c>
    </row>
    <row r="64" ht="16" customHeight="1">
      <c r="B64" s="95" t="inlineStr"/>
    </row>
    <row r="65" ht="16" customHeight="1">
      <c r="B65" s="95" t="inlineStr">
        <is>
          <t xml:space="preserve">    ' Записать P&amp;L из Дашборда</t>
        </is>
      </c>
    </row>
    <row r="66" ht="16" customHeight="1">
      <c r="B66" s="95" t="inlineStr">
        <is>
          <t xml:space="preserve">    wsJourn.Cells(lastRow, 14).Value = wsDash.Range("C24").Value + wsDash.Range("C25").Value</t>
        </is>
      </c>
    </row>
    <row r="67" ht="16" customHeight="1">
      <c r="B67" s="95" t="inlineStr">
        <is>
          <t xml:space="preserve">    wsJourn.Cells(lastRow, 15).Value = wsDash.Range("C26").Value + wsDash.Range("C27").Value + wsDash.Range("C28").Value</t>
        </is>
      </c>
    </row>
    <row r="68" ht="16" customHeight="1">
      <c r="B68" s="95" t="inlineStr"/>
    </row>
    <row r="69" ht="16" customHeight="1">
      <c r="B69" s="95" t="inlineStr">
        <is>
          <t xml:space="preserve">    wsJourn.Activate</t>
        </is>
      </c>
    </row>
    <row r="70" ht="16" customHeight="1">
      <c r="B70" s="95" t="inlineStr">
        <is>
          <t xml:space="preserve">    wsJourn.Cells(lastRow, 14).Select</t>
        </is>
      </c>
    </row>
    <row r="71" ht="16" customHeight="1">
      <c r="B71" s="95" t="inlineStr"/>
    </row>
    <row r="72" ht="16" customHeight="1">
      <c r="B72" s="95" t="inlineStr">
        <is>
          <t xml:space="preserve">    MsgBox "✅ P&amp;L записан в строку " &amp; lastRow &amp; ".", vbInformation</t>
        </is>
      </c>
    </row>
    <row r="73" ht="16" customHeight="1">
      <c r="B73" s="94" t="inlineStr">
        <is>
          <t>End Sub</t>
        </is>
      </c>
    </row>
    <row r="74" ht="16" customHeight="1">
      <c r="B74" s="95" t="inlineStr"/>
    </row>
    <row r="75" ht="16" customHeight="1">
      <c r="B75" s="93" t="inlineStr">
        <is>
          <t>' ═══════════════════════════════════════════════════</t>
        </is>
      </c>
    </row>
    <row r="76" ht="16" customHeight="1">
      <c r="B76" s="93" t="inlineStr">
        <is>
          <t>' КНОПКА 3: "Новый цикл" — добавляет строку в Циклы</t>
        </is>
      </c>
    </row>
    <row r="77" ht="16" customHeight="1">
      <c r="B77" s="93" t="inlineStr">
        <is>
          <t>' ═══════════════════════════════════════════════════</t>
        </is>
      </c>
    </row>
    <row r="78" ht="16" customHeight="1">
      <c r="B78" s="94" t="inlineStr">
        <is>
          <t>Sub НовыйЦикл()</t>
        </is>
      </c>
    </row>
    <row r="79" ht="16" customHeight="1">
      <c r="B79" s="95" t="inlineStr">
        <is>
          <t xml:space="preserve">    Dim wsCycles As Worksheet</t>
        </is>
      </c>
    </row>
    <row r="80" ht="16" customHeight="1">
      <c r="B80" s="95" t="inlineStr">
        <is>
          <t xml:space="preserve">    Dim lastRow As Long</t>
        </is>
      </c>
    </row>
    <row r="81" ht="16" customHeight="1">
      <c r="B81" s="95" t="inlineStr">
        <is>
          <t xml:space="preserve">    Dim cycleNum As Long</t>
        </is>
      </c>
    </row>
    <row r="82" ht="16" customHeight="1">
      <c r="B82" s="95" t="inlineStr">
        <is>
          <t xml:space="preserve">    Dim pnl_total As Double</t>
        </is>
      </c>
    </row>
    <row r="83" ht="16" customHeight="1">
      <c r="B83" s="95" t="inlineStr"/>
    </row>
    <row r="84" ht="16" customHeight="1">
      <c r="B84" s="95" t="inlineStr">
        <is>
          <t xml:space="preserve">    Set wsCycles = ThisWorkbook.Sheets("Циклы")</t>
        </is>
      </c>
    </row>
    <row r="85" ht="16" customHeight="1">
      <c r="B85" s="95" t="inlineStr"/>
    </row>
    <row r="86" ht="16" customHeight="1">
      <c r="B86" s="95" t="inlineStr">
        <is>
          <t xml:space="preserve">    lastRow = 3</t>
        </is>
      </c>
    </row>
    <row r="87" ht="16" customHeight="1">
      <c r="B87" s="95" t="inlineStr">
        <is>
          <t xml:space="preserve">    Do While wsCycles.Cells(lastRow, 2).Value &lt;&gt; "" And lastRow &lt; 30</t>
        </is>
      </c>
    </row>
    <row r="88" ht="16" customHeight="1">
      <c r="B88" s="95" t="inlineStr">
        <is>
          <t xml:space="preserve">        lastRow = lastRow + 1</t>
        </is>
      </c>
    </row>
    <row r="89" ht="16" customHeight="1">
      <c r="B89" s="95" t="inlineStr">
        <is>
          <t xml:space="preserve">    Loop</t>
        </is>
      </c>
    </row>
    <row r="90" ht="16" customHeight="1">
      <c r="B90" s="95" t="inlineStr"/>
    </row>
    <row r="91" ht="16" customHeight="1">
      <c r="B91" s="95" t="inlineStr">
        <is>
          <t xml:space="preserve">    cycleNum = lastRow - 2</t>
        </is>
      </c>
    </row>
    <row r="92" ht="16" customHeight="1">
      <c r="B92" s="95" t="inlineStr">
        <is>
          <t xml:space="preserve">    pnl_total = ThisWorkbook.Sheets("Дашборд").Range("C29").Value</t>
        </is>
      </c>
    </row>
    <row r="93" ht="16" customHeight="1">
      <c r="B93" s="95" t="inlineStr"/>
    </row>
    <row r="94" ht="16" customHeight="1">
      <c r="B94" s="95" t="inlineStr">
        <is>
          <t xml:space="preserve">    wsCycles.Cells(lastRow, 2).Value = cycleNum</t>
        </is>
      </c>
    </row>
    <row r="95" ht="16" customHeight="1">
      <c r="B95" s="95" t="inlineStr">
        <is>
          <t xml:space="preserve">    wsCycles.Cells(lastRow, 3).Value = ThisWorkbook.Sheets("Дашборд").Range("E6").Value</t>
        </is>
      </c>
    </row>
    <row r="96" ht="16" customHeight="1">
      <c r="B96" s="95" t="inlineStr">
        <is>
          <t xml:space="preserve">    wsCycles.Cells(lastRow, 10).Value = pnl_total</t>
        </is>
      </c>
    </row>
    <row r="97" ht="16" customHeight="1">
      <c r="B97" s="95" t="inlineStr"/>
    </row>
    <row r="98" ht="16" customHeight="1">
      <c r="B98" s="95" t="inlineStr">
        <is>
          <t xml:space="preserve">    ' Кумулятив</t>
        </is>
      </c>
    </row>
    <row r="99" ht="16" customHeight="1">
      <c r="B99" s="95" t="inlineStr">
        <is>
          <t xml:space="preserve">    If lastRow &gt; 3 Then</t>
        </is>
      </c>
    </row>
    <row r="100" ht="16" customHeight="1">
      <c r="B100" s="95" t="inlineStr">
        <is>
          <t xml:space="preserve">        wsCycles.Cells(lastRow, 12).Value = wsCycles.Cells(lastRow - 1, 12).Value + pnl_total</t>
        </is>
      </c>
    </row>
    <row r="101" ht="16" customHeight="1">
      <c r="B101" s="95" t="inlineStr">
        <is>
          <t xml:space="preserve">    Else</t>
        </is>
      </c>
    </row>
    <row r="102" ht="16" customHeight="1">
      <c r="B102" s="95" t="inlineStr">
        <is>
          <t xml:space="preserve">        wsCycles.Cells(lastRow, 12).Value = pnl_total</t>
        </is>
      </c>
    </row>
    <row r="103" ht="16" customHeight="1">
      <c r="B103" s="95" t="inlineStr">
        <is>
          <t xml:space="preserve">    End If</t>
        </is>
      </c>
    </row>
    <row r="104" ht="16" customHeight="1">
      <c r="B104" s="95" t="inlineStr"/>
    </row>
    <row r="105" ht="16" customHeight="1">
      <c r="B105" s="95" t="inlineStr">
        <is>
          <t xml:space="preserve">    wsCycles.Activate</t>
        </is>
      </c>
    </row>
    <row r="106" ht="16" customHeight="1">
      <c r="B106" s="95" t="inlineStr">
        <is>
          <t xml:space="preserve">    MsgBox "✅ Цикл " &amp; cycleNum &amp; " добавлен. P&amp;L = " &amp; Format(pnl_total, "#,##0.00") &amp; " руб.", vbInformation</t>
        </is>
      </c>
    </row>
    <row r="107" ht="16" customHeight="1">
      <c r="B107" s="94" t="inlineStr">
        <is>
          <t>End Sub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2026-04-14T17:38:27Z</dcterms:created>
  <dcterms:modified xmlns:dcterms="http://purl.org/dc/terms/" xmlns:xsi="http://www.w3.org/2001/XMLSchema-instance" xsi:type="dcterms:W3CDTF">2026-04-14T17:44:45Z</dcterms:modified>
</cp:coreProperties>
</file>