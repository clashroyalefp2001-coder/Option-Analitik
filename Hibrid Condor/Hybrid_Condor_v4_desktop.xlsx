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rd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Calc_PnL" sheetId="3" state="visible" r:id="rId3"/>
    <sheet xmlns:r="http://schemas.openxmlformats.org/officeDocument/2006/relationships" name="Cycles" sheetId="4" state="visible" r:id="rId4"/>
    <sheet xmlns:r="http://schemas.openxmlformats.org/officeDocument/2006/relationships" name="Decision Map" sheetId="5" state="visible" r:id="rId5"/>
    <sheet xmlns:r="http://schemas.openxmlformats.org/officeDocument/2006/relationships" name="Guide" sheetId="6" state="visible" r:id="rId6"/>
    <sheet xmlns:r="http://schemas.openxmlformats.org/officeDocument/2006/relationships" name="VBA_Setup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DD.MM.YY"/>
    <numFmt numFmtId="166" formatCode="0.0%"/>
    <numFmt numFmtId="167" formatCode="0.0"/>
  </numFmts>
  <fonts count="41">
    <font>
      <name val="Calibri"/>
      <family val="2"/>
      <color theme="1"/>
      <sz val="11"/>
      <scheme val="minor"/>
    </font>
    <font>
      <name val="Calibri"/>
      <b val="1"/>
      <color rgb="0000CC96"/>
      <sz val="15"/>
    </font>
    <font>
      <name val="Calibri"/>
      <color rgb="00FFD700"/>
      <sz val="10"/>
    </font>
    <font>
      <name val="Calibri"/>
      <color rgb="00AAAAAA"/>
      <sz val="9"/>
    </font>
    <font>
      <name val="Calibri"/>
      <b val="1"/>
      <color rgb="0000CC96"/>
      <sz val="11"/>
    </font>
    <font>
      <name val="Calibri"/>
      <color rgb="00AAAAAA"/>
      <sz val="10"/>
    </font>
    <font>
      <name val="Calibri"/>
      <b val="1"/>
      <color rgb="0000FF99"/>
      <sz val="11"/>
    </font>
    <font>
      <name val="Calibri"/>
      <b val="1"/>
      <color rgb="0000CC96"/>
      <sz val="10"/>
    </font>
    <font>
      <name val="Calibri"/>
      <b val="1"/>
      <color rgb="00AB63FA"/>
      <sz val="11"/>
    </font>
    <font>
      <name val="Calibri"/>
      <b val="1"/>
      <color rgb="00FFD700"/>
      <sz val="11"/>
    </font>
    <font>
      <name val="Calibri"/>
      <b val="1"/>
      <color rgb="00FFD700"/>
      <sz val="10"/>
    </font>
    <font>
      <b val="1"/>
      <color rgb="0000CC96"/>
      <sz val="10"/>
    </font>
    <font>
      <name val="Calibri"/>
      <b val="1"/>
      <color rgb="00FFA500"/>
      <sz val="10"/>
    </font>
    <font>
      <name val="Calibri"/>
      <b val="1"/>
      <color rgb="00FF6666"/>
      <sz val="10"/>
    </font>
    <font>
      <color rgb="00FF9999"/>
      <sz val="9"/>
    </font>
    <font>
      <name val="Calibri"/>
      <b val="1"/>
      <color rgb="0000CC96"/>
      <sz val="13"/>
    </font>
    <font>
      <b val="1"/>
      <color rgb="00FFD700"/>
      <sz val="9"/>
    </font>
    <font>
      <color rgb="00888888"/>
      <sz val="9"/>
    </font>
    <font>
      <b val="1"/>
      <color rgb="0000FF99"/>
      <sz val="10"/>
    </font>
    <font>
      <name val="Calibri"/>
      <b val="1"/>
      <color rgb="00FFFFFF"/>
      <sz val="10"/>
    </font>
    <font>
      <color rgb="00CCCCCC"/>
      <sz val="9"/>
    </font>
    <font>
      <color rgb="00AAAAAA"/>
      <sz val="8"/>
    </font>
    <font>
      <b val="1"/>
      <color rgb="0000CC96"/>
      <sz val="9"/>
    </font>
    <font>
      <b val="1"/>
      <color rgb="0000CC96"/>
      <sz val="11"/>
    </font>
    <font>
      <b val="1"/>
      <color rgb="00AB63FA"/>
      <sz val="11"/>
    </font>
    <font>
      <b val="1"/>
      <color rgb="00FFFFFF"/>
      <sz val="10"/>
    </font>
    <font>
      <name val="Calibri"/>
      <b val="1"/>
      <color rgb="0000CC96"/>
      <sz val="14"/>
    </font>
    <font>
      <b val="1"/>
      <color rgb="00CCCCCC"/>
      <sz val="10"/>
    </font>
    <font>
      <b val="1"/>
      <color rgb="0000FF99"/>
      <sz val="9"/>
    </font>
    <font>
      <b val="1"/>
      <color rgb="00FF6666"/>
      <sz val="9"/>
    </font>
    <font>
      <b val="1"/>
      <color rgb="00AAAAAA"/>
      <sz val="9"/>
    </font>
    <font>
      <name val="Calibri"/>
      <b val="1"/>
      <color rgb="00FF6666"/>
      <sz val="12"/>
    </font>
    <font>
      <color rgb="00FF9999"/>
      <sz val="10"/>
    </font>
    <font>
      <color rgb="0000FF99"/>
      <sz val="10"/>
    </font>
    <font>
      <b val="1"/>
      <color rgb="00FFD700"/>
      <sz val="11"/>
    </font>
    <font>
      <color rgb="00CCCCCC"/>
      <sz val="10"/>
    </font>
    <font>
      <name val="Calibri"/>
      <color rgb="00AAAAAA"/>
      <sz val="11"/>
    </font>
    <font>
      <name val="Calibri"/>
      <color rgb="0000CC96"/>
      <sz val="11"/>
    </font>
    <font>
      <name val="Calibri"/>
      <b val="1"/>
      <color rgb="007FDBFF"/>
      <sz val="11"/>
    </font>
    <font>
      <name val="Calibri"/>
      <b val="1"/>
      <color rgb="00FFFFFF"/>
      <sz val="11"/>
    </font>
    <font>
      <name val="Calibri"/>
      <color rgb="007FDBFF"/>
      <sz val="10"/>
    </font>
  </fonts>
  <fills count="17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D2D44"/>
      </patternFill>
    </fill>
    <fill>
      <patternFill patternType="solid">
        <fgColor rgb="001A3A2A"/>
      </patternFill>
    </fill>
    <fill>
      <patternFill patternType="solid">
        <fgColor rgb="001E2E3A"/>
      </patternFill>
    </fill>
    <fill>
      <patternFill patternType="solid">
        <fgColor rgb="001A1A2E"/>
      </patternFill>
    </fill>
    <fill>
      <patternFill patternType="solid">
        <fgColor rgb="000D1A0D"/>
      </patternFill>
    </fill>
    <fill>
      <patternFill patternType="solid">
        <fgColor rgb="001A1A0A"/>
      </patternFill>
    </fill>
    <fill>
      <patternFill patternType="solid">
        <fgColor rgb="003A0D0D"/>
      </patternFill>
    </fill>
    <fill>
      <patternFill patternType="solid">
        <fgColor rgb="001A0808"/>
      </patternFill>
    </fill>
    <fill>
      <patternFill patternType="solid">
        <fgColor rgb="000D2A1A"/>
      </patternFill>
    </fill>
    <fill>
      <patternFill patternType="solid">
        <fgColor rgb="002A0D0D"/>
      </patternFill>
    </fill>
    <fill>
      <patternFill patternType="solid">
        <fgColor rgb="000D1A2A"/>
      </patternFill>
    </fill>
    <fill>
      <patternFill patternType="solid">
        <fgColor rgb="002A2A0D"/>
      </patternFill>
    </fill>
    <fill>
      <patternFill patternType="solid">
        <fgColor rgb="0010263A"/>
      </patternFill>
    </fill>
    <fill>
      <patternFill patternType="solid">
        <fgColor rgb="002A1A00"/>
      </patternFill>
    </fill>
  </fills>
  <borders count="10">
    <border>
      <left/>
      <right/>
      <top/>
      <bottom/>
      <diagonal/>
    </border>
    <border>
      <left style="thin">
        <color rgb="00555566"/>
      </left>
      <right style="thin">
        <color rgb="00555566"/>
      </right>
      <top style="thin">
        <color rgb="00555566"/>
      </top>
      <bottom style="thin">
        <color rgb="00555566"/>
      </bottom>
    </border>
    <border>
      <left style="medium">
        <color rgb="00888899"/>
      </left>
      <right style="medium">
        <color rgb="00888899"/>
      </right>
      <top style="medium">
        <color rgb="00888899"/>
      </top>
      <bottom style="medium">
        <color rgb="00888899"/>
      </bottom>
    </border>
    <border>
      <left/>
      <right/>
      <top style="thin">
        <color rgb="00555566"/>
      </top>
      <bottom/>
      <diagonal/>
    </border>
    <border>
      <left/>
      <right style="thin">
        <color rgb="00555566"/>
      </right>
      <top style="thin">
        <color rgb="00555566"/>
      </top>
      <bottom/>
      <diagonal/>
    </border>
    <border>
      <left/>
      <right/>
      <top style="thin">
        <color rgb="00555566"/>
      </top>
      <bottom style="thin">
        <color rgb="00555566"/>
      </bottom>
      <diagonal/>
    </border>
    <border>
      <left/>
      <right style="thin">
        <color rgb="00555566"/>
      </right>
      <top style="thin">
        <color rgb="00555566"/>
      </top>
      <bottom style="thin">
        <color rgb="00555566"/>
      </bottom>
      <diagonal/>
    </border>
    <border>
      <left/>
      <right style="thin">
        <color rgb="00555566"/>
      </right>
      <top/>
      <bottom style="thin">
        <color rgb="00555566"/>
      </bottom>
      <diagonal/>
    </border>
    <border>
      <left/>
      <right style="thin">
        <color rgb="00555566"/>
      </right>
      <top/>
      <bottom/>
      <diagonal/>
    </border>
    <border>
      <left/>
      <right/>
      <top/>
      <bottom style="thin">
        <color rgb="00555566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49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2" fontId="18" fillId="4" borderId="1" applyAlignment="1" pivotButton="0" quotePrefix="0" xfId="0">
      <alignment horizontal="center" vertical="center"/>
    </xf>
    <xf numFmtId="166" fontId="18" fillId="4" borderId="1" applyAlignment="1" pivotButton="0" quotePrefix="0" xfId="0">
      <alignment horizontal="center" vertical="center"/>
    </xf>
    <xf numFmtId="49" fontId="19" fillId="6" borderId="1" applyAlignment="1" pivotButton="0" quotePrefix="0" xfId="0">
      <alignment horizontal="center" vertical="center"/>
    </xf>
    <xf numFmtId="49" fontId="19" fillId="5" borderId="1" applyAlignment="1" pivotButton="0" quotePrefix="0" xfId="0">
      <alignment horizontal="center" vertical="center"/>
    </xf>
    <xf numFmtId="49" fontId="12" fillId="8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 wrapText="1"/>
    </xf>
    <xf numFmtId="166" fontId="6" fillId="4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3" fontId="7" fillId="11" borderId="1" applyAlignment="1" pivotButton="0" quotePrefix="0" xfId="0">
      <alignment horizontal="center" vertical="center"/>
    </xf>
    <xf numFmtId="3" fontId="13" fillId="12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3" fontId="21" fillId="5" borderId="1" applyAlignment="1" pivotButton="0" quotePrefix="0" xfId="0">
      <alignment horizontal="center" vertical="center"/>
    </xf>
    <xf numFmtId="3" fontId="22" fillId="13" borderId="1" applyAlignment="1" pivotButton="0" quotePrefix="0" xfId="0">
      <alignment horizontal="center" vertical="center"/>
    </xf>
    <xf numFmtId="1" fontId="18" fillId="4" borderId="1" applyAlignment="1" pivotButton="0" quotePrefix="0" xfId="0">
      <alignment horizontal="center" vertical="center"/>
    </xf>
    <xf numFmtId="49" fontId="18" fillId="4" borderId="1" applyAlignment="1" pivotButton="0" quotePrefix="0" xfId="0">
      <alignment horizontal="center" vertical="center"/>
    </xf>
    <xf numFmtId="3" fontId="18" fillId="4" borderId="1" applyAlignment="1" pivotButton="0" quotePrefix="0" xfId="0">
      <alignment horizontal="center" vertical="center"/>
    </xf>
    <xf numFmtId="3" fontId="23" fillId="13" borderId="2" applyAlignment="1" pivotButton="0" quotePrefix="0" xfId="0">
      <alignment horizontal="center" vertical="center"/>
    </xf>
    <xf numFmtId="3" fontId="24" fillId="6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29" fillId="12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center" vertical="center"/>
    </xf>
    <xf numFmtId="0" fontId="32" fillId="10" borderId="1" applyAlignment="1" pivotButton="0" quotePrefix="0" xfId="0">
      <alignment horizontal="left" vertical="center"/>
    </xf>
    <xf numFmtId="0" fontId="33" fillId="11" borderId="1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/>
    </xf>
    <xf numFmtId="0" fontId="35" fillId="2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2" fontId="38" fillId="1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left" vertical="center"/>
    </xf>
    <xf numFmtId="0" fontId="3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center" vertical="center"/>
    </xf>
    <xf numFmtId="1" fontId="38" fillId="5" borderId="1" applyAlignment="1" pivotButton="0" quotePrefix="0" xfId="0">
      <alignment horizontal="center" vertical="center"/>
    </xf>
    <xf numFmtId="0" fontId="36" fillId="6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3" fontId="38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7" pivotButton="0" quotePrefix="0" xfId="0"/>
    <xf numFmtId="0" fontId="10" fillId="14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00FF99"/>
      </font>
      <fill>
        <patternFill patternType="solid">
          <fgColor rgb="000D2A1A"/>
        </patternFill>
      </fill>
    </dxf>
    <dxf>
      <font>
        <b val="1"/>
        <color rgb="00FF6666"/>
      </font>
      <fill>
        <patternFill patternType="solid">
          <fgColor rgb="003A0D0D"/>
        </patternFill>
      </fill>
    </dxf>
    <dxf>
      <font>
        <b val="1"/>
        <color rgb="00FFA500"/>
      </font>
      <fill>
        <patternFill patternType="solid">
          <fgColor rgb="002A1A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Кумулятивный P&amp;L по циклам</a:t>
            </a:r>
          </a:p>
        </rich>
      </tx>
    </title>
    <plotArea>
      <lineChart>
        <grouping val="standard"/>
        <ser>
          <idx val="0"/>
          <order val="0"/>
          <tx>
            <strRef>
              <f>'Cycles'!O3</f>
            </strRef>
          </tx>
          <spPr>
            <a:ln xmlns:a="http://schemas.openxmlformats.org/drawingml/2006/main" w="28000">
              <a:solidFill>
                <a:srgbClr val="AB63F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'Cycles'!$O$4:$O$24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Цикл №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Накопл. P&amp;L, руб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" customWidth="1" min="3" max="3"/>
    <col width="28" customWidth="1" min="4" max="4"/>
    <col width="18" customWidth="1" min="5" max="5"/>
    <col width="2" customWidth="1" min="6" max="6"/>
    <col width="6" customWidth="1" min="7" max="7"/>
    <col width="42" customWidth="1" min="8" max="8"/>
    <col width="18" customWidth="1" min="9" max="9"/>
    <col width="14" customWidth="1" min="10" max="10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ГИБРИДНЫЙ КОНДОР v2 — ТОРГОВЫЙ ДАШБОРД</t>
        </is>
      </c>
      <c r="B1" s="56" t="n"/>
      <c r="C1" s="56" t="n"/>
      <c r="D1" s="56" t="n"/>
      <c r="E1" s="56" t="n"/>
      <c r="F1" s="56" t="n"/>
      <c r="G1" s="56" t="n"/>
      <c r="H1" s="57" t="n"/>
    </row>
    <row r="2" ht="18" customHeight="1">
      <c r="A2" s="2" t="inlineStr">
        <is>
          <t>SBER | BUY PUT(Ц-10) / SELL PUT(Ц) / BUY CALL(Ц+5) / SELL CALL(Ц+15) + Акции 1000 шт</t>
        </is>
      </c>
      <c r="B2" s="56" t="n"/>
      <c r="C2" s="56" t="n"/>
      <c r="D2" s="56" t="n"/>
      <c r="E2" s="56" t="n"/>
      <c r="F2" s="56" t="n"/>
      <c r="G2" s="56" t="n"/>
      <c r="H2" s="57" t="n"/>
    </row>
    <row r="3" ht="15" customHeight="1">
      <c r="A3" s="3" t="inlineStr">
        <is>
          <t>Зелёный = вводить вручную | Синий = авто-формула | Обновлять ежедневно</t>
        </is>
      </c>
      <c r="B3" s="56" t="n"/>
      <c r="C3" s="56" t="n"/>
      <c r="D3" s="56" t="n"/>
      <c r="E3" s="56" t="n"/>
      <c r="F3" s="56" t="n"/>
      <c r="G3" s="56" t="n"/>
      <c r="H3" s="57" t="n"/>
    </row>
    <row r="5" ht="22" customHeight="1">
      <c r="A5" s="4" t="inlineStr">
        <is>
          <t>ТЕКУЩАЯ ПОЗИЦИЯ</t>
        </is>
      </c>
      <c r="B5" s="57" t="n"/>
      <c r="D5" s="5" t="inlineStr">
        <is>
          <t>РЫНОЧНЫЕ ДАННЫЕ (вводить каждый день)</t>
        </is>
      </c>
      <c r="E5" s="57" t="n"/>
      <c r="G5" s="63" t="inlineStr">
        <is>
          <t>СИГНАЛ ПРИНЯТИЯ РЕШЕНИЯ</t>
        </is>
      </c>
      <c r="H5" s="57" t="n"/>
    </row>
    <row r="6" ht="20" customHeight="1">
      <c r="A6" s="7" t="inlineStr">
        <is>
          <t>Дата входа:</t>
        </is>
      </c>
      <c r="B6" s="8" t="n"/>
      <c r="D6" s="7" t="inlineStr">
        <is>
          <t>Дата:</t>
        </is>
      </c>
      <c r="E6" s="66" t="n"/>
      <c r="G6" s="7" t="inlineStr">
        <is>
          <t>РЕЖИМ:</t>
        </is>
      </c>
      <c r="H6" s="10">
        <f>IF(E12="","Введи данные",IF(AND(E12&lt;6,ABS(E13)&lt;3,E14&lt;3),"ФЛЭТ",IF(OR(E12&gt;10,ABS(E13)&gt;6),IF(E13&gt;0,"ТРЕНД ВВЕРХ","ТРЕНД ВНИЗ"),"ЖДАТЬ")))</f>
        <v/>
      </c>
    </row>
    <row r="7" ht="40" customHeight="1">
      <c r="A7" s="7" t="inlineStr">
        <is>
          <t>Цена входа S0:</t>
        </is>
      </c>
      <c r="B7" s="66" t="n">
        <v>317.2</v>
      </c>
      <c r="D7" s="7" t="inlineStr">
        <is>
          <t>Close:</t>
        </is>
      </c>
      <c r="E7" s="58">
        <f>FILTERXML(WEBSERVICE("https://iss.moex.com/iss/engines/stock/markets/shares/boards/TQBR/securities/SBER/candles.xml?from="&amp;TEXT(E16,"yyyy-mm-dd")&amp;"&amp;till="&amp;TEXT(E16,"yyyy-mm-dd")&amp;"&amp;interval=24"),"//row/@close")</f>
        <v/>
      </c>
      <c r="G7" s="7" t="inlineStr">
        <is>
          <t>ДЕЙСТВИЕ:</t>
        </is>
      </c>
      <c r="H7" s="11">
        <f>IF(H6="Введи данные","Заполни поля E6:E11",IF(H6="ФЛЭТ","ШАГ1: Продать BUY CALL "&amp;B11&amp;" | ШАГ2: Roll откупить "&amp;B12&amp;" продать ATM | ШАГ3: PUT "&amp;B9,IF(H6="ТРЕНД ВВЕРХ","НЕ трогать CALL. Акции растут. Следить страйк "&amp;B12,IF(H6="ТРЕНД ВНИЗ","НЕ продавать PUT. BUY PUT "&amp;B9&amp;" защищает.",""))))</f>
        <v/>
      </c>
    </row>
    <row r="8" ht="20" customHeight="1">
      <c r="A8" s="7" t="inlineStr">
        <is>
          <t>Центр. страйк (Ц):</t>
        </is>
      </c>
      <c r="B8" s="12" t="n">
        <v>315</v>
      </c>
      <c r="D8" s="7" t="inlineStr">
        <is>
          <t>High:</t>
        </is>
      </c>
      <c r="E8" s="58">
        <f>FILTERXML(WEBSERVICE("https://iss.moex.com/iss/engines/stock/markets/shares/boards/TQBR/securities/SBER/candles.xml?from="&amp;TEXT(E16,"yyyy-mm-dd")&amp;"&amp;till="&amp;TEXT(E16,"yyyy-mm-dd")&amp;"&amp;interval=24"),"//row/@high")</f>
        <v/>
      </c>
    </row>
    <row r="9" ht="20" customHeight="1">
      <c r="A9" s="7" t="inlineStr">
        <is>
          <t>BUY PUT страйк:</t>
        </is>
      </c>
      <c r="B9" s="12" t="n">
        <v>305</v>
      </c>
      <c r="D9" s="7" t="inlineStr">
        <is>
          <t>Low:</t>
        </is>
      </c>
      <c r="E9" s="58">
        <f>FILTERXML(WEBSERVICE("https://iss.moex.com/iss/engines/stock/markets/shares/boards/TQBR/securities/SBER/candles.xml?from="&amp;TEXT(E16,"yyyy-mm-dd")&amp;"&amp;till="&amp;TEXT(E16,"yyyy-mm-dd")&amp;"&amp;interval=24"),"//row/@low")</f>
        <v/>
      </c>
      <c r="G9" s="7" t="inlineStr">
        <is>
          <t>Фаза 2 активна?</t>
        </is>
      </c>
      <c r="H9" s="13">
        <f>IF(E15="","нет данных",IF(E15&gt;=10,"ДА: День "&amp;E15&amp;" — проверь журнал флэт-дней","НЕТ: День "&amp;E15&amp;" из 21"))</f>
        <v/>
      </c>
    </row>
    <row r="10" ht="20" customHeight="1">
      <c r="A10" s="7" t="inlineStr">
        <is>
          <t>SELL PUT страйк:</t>
        </is>
      </c>
      <c r="B10" s="12" t="n">
        <v>315</v>
      </c>
      <c r="D10" s="7" t="inlineStr">
        <is>
          <t>Вч.Close:</t>
        </is>
      </c>
      <c r="E10" s="58">
        <f>FILTERXML(WEBSERVICE("https://iss.moex.com/iss/engines/stock/markets/shares/boards/TQBR/securities/SBER/candles.xml?from="&amp;TEXT(E17,"yyyy-mm-dd")&amp;"&amp;till="&amp;TEXT(E17,"yyyy-mm-dd")&amp;"&amp;interval=24"),"//row/@close")</f>
        <v/>
      </c>
    </row>
    <row r="11" ht="20" customHeight="1">
      <c r="A11" s="7" t="inlineStr">
        <is>
          <t>BUY CALL страйк:</t>
        </is>
      </c>
      <c r="B11" s="12" t="n">
        <v>320</v>
      </c>
      <c r="D11" s="7" t="inlineStr">
        <is>
          <t>IV%:</t>
        </is>
      </c>
      <c r="E11" s="59">
        <f>E18</f>
        <v/>
      </c>
      <c r="G11" s="14" t="inlineStr">
        <is>
          <t>ЖЁСТКИЕ ЗАПРЕТЫ</t>
        </is>
      </c>
      <c r="H11" s="57" t="n"/>
    </row>
    <row r="12" ht="22" customHeight="1">
      <c r="A12" s="7" t="inlineStr">
        <is>
          <t>SELL CALL страйк:</t>
        </is>
      </c>
      <c r="B12" s="12" t="n">
        <v>330</v>
      </c>
      <c r="D12" s="7" t="inlineStr">
        <is>
          <t>R = H-L</t>
        </is>
      </c>
      <c r="E12" s="15">
        <f>IF(AND(E8&lt;&gt;"",E9&lt;&gt;""),E8-E9,"")</f>
        <v/>
      </c>
      <c r="G12" s="16" t="inlineStr">
        <is>
          <t>R&gt;12руб→не торговать | После -10руб→нет SELL PUT 2дня | После +10руб→нет Roll 2дня</t>
        </is>
      </c>
      <c r="H12" s="57" t="n"/>
    </row>
    <row r="13" ht="22" customHeight="1">
      <c r="A13" s="7" t="inlineStr">
        <is>
          <t>Акции LONG, шт:</t>
        </is>
      </c>
      <c r="B13" s="12" t="n">
        <v>1000</v>
      </c>
      <c r="D13" s="7" t="inlineStr">
        <is>
          <t>Momentum</t>
        </is>
      </c>
      <c r="E13" s="15">
        <f>IF(AND(E7&lt;&gt;"",E10&lt;&gt;""),E7-E10,"")</f>
        <v/>
      </c>
      <c r="G13" s="16" t="inlineStr">
        <is>
          <t>Перед/после новостей ЦБ или дивидендов → не активировать Фазу 2</t>
        </is>
      </c>
      <c r="H13" s="57" t="n"/>
    </row>
    <row r="14" ht="22" customHeight="1">
      <c r="A14" s="7" t="inlineStr">
        <is>
          <t>Дата экспирации:</t>
        </is>
      </c>
      <c r="B14" s="8" t="n"/>
      <c r="D14" s="7" t="inlineStr">
        <is>
          <t>Δ от центра</t>
        </is>
      </c>
      <c r="E14" s="15">
        <f>IF(AND(E7&lt;&gt;"",B8&lt;&gt;""),ABS(E7-B8),"")</f>
        <v/>
      </c>
      <c r="G14" s="16" t="inlineStr">
        <is>
          <t>Roll: нет если до экспир.&lt;7 дней или SELL CALL вырос&gt;150% цены входа</t>
        </is>
      </c>
      <c r="H14" s="57" t="n"/>
    </row>
    <row r="15" ht="28" customHeight="1">
      <c r="A15" s="7" t="inlineStr">
        <is>
          <t>Дней до экспир.</t>
        </is>
      </c>
      <c r="B15" s="17">
        <f>IF(B14="","",MAX(0,B14-TODAY()))</f>
        <v/>
      </c>
      <c r="D15" s="7" t="inlineStr">
        <is>
          <t>День цикла №</t>
        </is>
      </c>
      <c r="E15" s="17">
        <f>IF(AND(B6&lt;&gt;"",E6&lt;&gt;""),MAX(1,E6-B6+1),"")</f>
        <v/>
      </c>
      <c r="H15" s="60" t="inlineStr">
        <is>
          <t>ОБНОВИТЬ: Data -&gt; Refresh All (или Ctrl+Alt+F5)</t>
        </is>
      </c>
      <c r="I15" s="56" t="n"/>
      <c r="J15" s="57" t="n"/>
    </row>
    <row r="16">
      <c r="D16" s="61" t="inlineStr">
        <is>
          <t>Торг. дата</t>
        </is>
      </c>
      <c r="E16" s="62">
        <f>IF(E6&lt;&gt;"",E6,TODAY()-1)</f>
        <v/>
      </c>
      <c r="H16" s="63" t="inlineStr">
        <is>
          <t>СТАДИЯ СТРАТЕГИИ</t>
        </is>
      </c>
      <c r="I16" s="64">
        <f>IF(E15&lt;10,"ФАЗА 1: базовый кондор",IF(AND(H6="ФЛЭТ",E15&gt;=10),"ФАЗА 2: продать BUY CALL и Roll CALL","ФАЗА 1/ожидание"))</f>
        <v/>
      </c>
      <c r="J16" s="57" t="n"/>
    </row>
    <row r="17">
      <c r="D17" s="61" t="inlineStr">
        <is>
          <t>Пред. торг. дата</t>
        </is>
      </c>
      <c r="E17" s="62">
        <f>WORKDAY(E16,-1)</f>
        <v/>
      </c>
    </row>
    <row r="18">
      <c r="D18" s="61" t="inlineStr">
        <is>
          <t>IV ATM, % (вручную)</t>
        </is>
      </c>
      <c r="E18" s="59" t="n">
        <v>0.125</v>
      </c>
      <c r="H18" s="65" t="inlineStr">
        <is>
          <t>НАЧАЛЬНЫЕ ЦЕНЫ ОПЦИОНОВ</t>
        </is>
      </c>
      <c r="J18" s="65" t="inlineStr">
        <is>
          <t>ТЕКУЩИЕ ЦЕНЫ ОПЦИОНОВ</t>
        </is>
      </c>
      <c r="L18" s="63" t="inlineStr">
        <is>
          <t>СОСЕДНИЕ СТРАЙКИ</t>
        </is>
      </c>
    </row>
    <row r="19">
      <c r="D19" s="75" t="inlineStr">
        <is>
          <t>MOEX URL (Close/High/Low)</t>
        </is>
      </c>
      <c r="E19" s="76">
        <f>"https://iss.moex.com/iss/engines/stock/markets/shares/boards/TQBR/securities/SBER/candles.xml?from="&amp;TEXT(E16,"yyyy-mm-dd")&amp;"&amp;till="&amp;TEXT(E16,"yyyy-mm-dd")&amp;"&amp;interval=24"</f>
        <v/>
      </c>
      <c r="F19" s="77" t="n"/>
      <c r="G19" s="77" t="n"/>
      <c r="H19" s="77" t="n"/>
      <c r="I19" s="77" t="n"/>
      <c r="J19" s="78" t="n"/>
      <c r="K19" s="66" t="inlineStr"/>
      <c r="L19" s="61" t="inlineStr">
        <is>
          <t>PUT ниже</t>
        </is>
      </c>
      <c r="M19" s="67">
        <f>B9-5</f>
        <v/>
      </c>
      <c r="N19" s="66" t="inlineStr"/>
    </row>
    <row r="20">
      <c r="H20" s="61" t="inlineStr">
        <is>
          <t>SELL PUT вход</t>
        </is>
      </c>
      <c r="I20" s="66" t="inlineStr"/>
      <c r="J20" s="61" t="inlineStr">
        <is>
          <t>SELL PUT тек.</t>
        </is>
      </c>
      <c r="K20" s="66" t="inlineStr"/>
      <c r="L20" s="61" t="inlineStr">
        <is>
          <t>PUT ATM</t>
        </is>
      </c>
      <c r="M20" s="67">
        <f>B10</f>
        <v/>
      </c>
      <c r="N20" s="66" t="inlineStr"/>
    </row>
    <row r="21">
      <c r="H21" s="61" t="inlineStr">
        <is>
          <t>BUY CALL вход</t>
        </is>
      </c>
      <c r="I21" s="66" t="inlineStr"/>
      <c r="J21" s="61" t="inlineStr">
        <is>
          <t>BUY CALL тек.</t>
        </is>
      </c>
      <c r="K21" s="66" t="inlineStr"/>
      <c r="L21" s="61" t="inlineStr">
        <is>
          <t>CALL ATM</t>
        </is>
      </c>
      <c r="M21" s="67">
        <f>B11</f>
        <v/>
      </c>
      <c r="N21" s="66" t="inlineStr"/>
    </row>
    <row r="22">
      <c r="H22" s="61" t="inlineStr">
        <is>
          <t>SELL CALL вход</t>
        </is>
      </c>
      <c r="I22" s="66" t="inlineStr"/>
      <c r="J22" s="61" t="inlineStr">
        <is>
          <t>SELL CALL тек.</t>
        </is>
      </c>
      <c r="K22" s="66" t="inlineStr"/>
      <c r="L22" s="61" t="inlineStr">
        <is>
          <t>CALL выше</t>
        </is>
      </c>
      <c r="M22" s="67">
        <f>B12+5</f>
        <v/>
      </c>
      <c r="N22" s="66" t="inlineStr"/>
    </row>
    <row r="23">
      <c r="L23" s="68" t="inlineStr">
        <is>
          <t>Введи вручную текущие цены соседних страйков</t>
        </is>
      </c>
      <c r="M23" s="56" t="n"/>
      <c r="N23" s="57" t="n"/>
    </row>
    <row r="24">
      <c r="H24" s="79" t="inlineStr">
        <is>
          <t>В Windows Excel: нажми кнопку/макрос Refresh Quotes</t>
        </is>
      </c>
      <c r="I24" s="56" t="n"/>
      <c r="J24" s="57" t="n"/>
    </row>
    <row r="25">
      <c r="H25" s="80" t="inlineStr">
        <is>
          <t>Если Excel спросит: Разрешить содержимое / Включить макросы</t>
        </is>
      </c>
      <c r="I25" s="56" t="n"/>
      <c r="J25" s="57" t="n"/>
    </row>
  </sheetData>
  <mergeCells count="17">
    <mergeCell ref="H15:J15"/>
    <mergeCell ref="A3:H3"/>
    <mergeCell ref="G12:H12"/>
    <mergeCell ref="E19:J19"/>
    <mergeCell ref="H24:J24"/>
    <mergeCell ref="I16:J16"/>
    <mergeCell ref="A2:H2"/>
    <mergeCell ref="G11:H11"/>
    <mergeCell ref="D5:E5"/>
    <mergeCell ref="A5:B5"/>
    <mergeCell ref="G5:H5"/>
    <mergeCell ref="L23:N23"/>
    <mergeCell ref="H7"/>
    <mergeCell ref="G14:H14"/>
    <mergeCell ref="A1:H1"/>
    <mergeCell ref="H25:J25"/>
    <mergeCell ref="G13:H13"/>
  </mergeCells>
  <conditionalFormatting sqref="I16:J16">
    <cfRule type="expression" priority="1" dxfId="2">
      <formula>ISNUMBER(SEARCH("ФАЗА 2",I16))</formula>
    </cfRule>
    <cfRule type="expression" priority="2" dxfId="0">
      <formula>ISNUMBER(SEARCH("ФАЗА 1",I16))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16" customWidth="1" min="11" max="11"/>
    <col width="16" customWidth="1" min="12" max="12"/>
    <col width="16" customWidth="1" min="13" max="13"/>
    <col width="16" customWidth="1" min="14" max="14"/>
    <col width="26" customWidth="1" min="15" max="15"/>
  </cols>
  <sheetData>
    <row r="1" ht="28" customHeight="1">
      <c r="A1" s="18" t="inlineStr">
        <is>
          <t>ЕЖЕДНЕВНЫЙ ЖУРНАЛ НАБЛЮДЕНИЙ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7" t="n"/>
    </row>
    <row r="2" ht="15" customHeight="1">
      <c r="A2" s="19" t="inlineStr">
        <is>
          <t>Вводи Close/High/Low/PrevClose каждый день — остальное считается автоматически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7" t="n"/>
    </row>
    <row r="3" ht="28" customHeight="1">
      <c r="A3" s="20" t="inlineStr">
        <is>
          <t>№</t>
        </is>
      </c>
      <c r="B3" s="20" t="inlineStr">
        <is>
          <t>Дата</t>
        </is>
      </c>
      <c r="C3" s="20" t="inlineStr">
        <is>
          <t>Close</t>
        </is>
      </c>
      <c r="D3" s="20" t="inlineStr">
        <is>
          <t>High</t>
        </is>
      </c>
      <c r="E3" s="20" t="inlineStr">
        <is>
          <t>Low</t>
        </is>
      </c>
      <c r="F3" s="20" t="inlineStr">
        <is>
          <t>Prev Close</t>
        </is>
      </c>
      <c r="G3" s="20" t="inlineStr">
        <is>
          <t>R (H-L)</t>
        </is>
      </c>
      <c r="H3" s="20" t="inlineStr">
        <is>
          <t>Moment</t>
        </is>
      </c>
      <c r="I3" s="20" t="inlineStr">
        <is>
          <t>Дельта</t>
        </is>
      </c>
      <c r="J3" s="20" t="inlineStr">
        <is>
          <t>IV%</t>
        </is>
      </c>
      <c r="K3" s="20" t="inlineStr">
        <is>
          <t>РЕЖИМ</t>
        </is>
      </c>
      <c r="L3" s="20" t="inlineStr">
        <is>
          <t>CALL?</t>
        </is>
      </c>
      <c r="M3" s="20" t="inlineStr">
        <is>
          <t>PUT?</t>
        </is>
      </c>
      <c r="N3" s="20" t="inlineStr">
        <is>
          <t>ФАЗА2?</t>
        </is>
      </c>
      <c r="O3" s="20" t="inlineStr">
        <is>
          <t>ЗАМЕТКИ</t>
        </is>
      </c>
    </row>
    <row r="4" ht="18" customHeight="1">
      <c r="A4" s="21" t="n">
        <v>1</v>
      </c>
      <c r="B4" s="22" t="n"/>
      <c r="C4" s="23" t="n"/>
      <c r="D4" s="23" t="n"/>
      <c r="E4" s="23" t="n"/>
      <c r="F4" s="23" t="n"/>
      <c r="G4" s="15">
        <f>IF(AND(D4&lt;&gt;"",E4&lt;&gt;""),D4-E4,"")</f>
        <v/>
      </c>
      <c r="H4" s="15">
        <f>IF(AND(C4&lt;&gt;"",F4&lt;&gt;""),C4-F4,"")</f>
        <v/>
      </c>
      <c r="I4" s="15">
        <f>IF(AND(C4&lt;&gt;"",Dashbord!$B$8&lt;&gt;""),ABS(C4-Dashbord!$B$8),"")</f>
        <v/>
      </c>
      <c r="J4" s="24" t="n"/>
      <c r="K4" s="25">
        <f>IF(G4="","",IF(AND(G4&lt;6,ABS(H4)&lt;3,I4&lt;3),"FLAT",IF(OR(G4&gt;10,ABS(H4)&gt;6),IF(H4&gt;0,"TREND UP","TREND DOWN"),"WAIT")))</f>
        <v/>
      </c>
      <c r="L4" s="26">
        <f>IF(K4="","",IF(K4="FLAT","YES",IF(K4="TREND UP","NO","WAIT")))</f>
        <v/>
      </c>
      <c r="M4" s="26">
        <f>IF(K4="","",IF(K4="TREND DOWN","NO",IF(K4="FLAT","YES","WAIT")))</f>
        <v/>
      </c>
      <c r="N4" s="27">
        <f>IF(K4="","",IF(COUNTIF(K4:K4,"FLAT")&gt;=8,"ACTIVATE","No: "&amp;COUNTIF(K4:K4,"FLAT")&amp;"/10"))</f>
        <v/>
      </c>
      <c r="O4" s="28" t="n"/>
    </row>
    <row r="5" ht="18" customHeight="1">
      <c r="A5" s="21" t="n">
        <v>2</v>
      </c>
      <c r="B5" s="22" t="n"/>
      <c r="C5" s="23" t="n"/>
      <c r="D5" s="23" t="n"/>
      <c r="E5" s="23" t="n"/>
      <c r="F5" s="23" t="n"/>
      <c r="G5" s="15">
        <f>IF(AND(D5&lt;&gt;"",E5&lt;&gt;""),D5-E5,"")</f>
        <v/>
      </c>
      <c r="H5" s="15">
        <f>IF(AND(C5&lt;&gt;"",F5&lt;&gt;""),C5-F5,"")</f>
        <v/>
      </c>
      <c r="I5" s="15">
        <f>IF(AND(C5&lt;&gt;"",Dashbord!$B$8&lt;&gt;""),ABS(C5-Dashbord!$B$8),"")</f>
        <v/>
      </c>
      <c r="J5" s="24" t="n"/>
      <c r="K5" s="25">
        <f>IF(G5="","",IF(AND(G5&lt;6,ABS(H5)&lt;3,I5&lt;3),"FLAT",IF(OR(G5&gt;10,ABS(H5)&gt;6),IF(H5&gt;0,"TREND UP","TREND DOWN"),"WAIT")))</f>
        <v/>
      </c>
      <c r="L5" s="26">
        <f>IF(K5="","",IF(K5="FLAT","YES",IF(K5="TREND UP","NO","WAIT")))</f>
        <v/>
      </c>
      <c r="M5" s="26">
        <f>IF(K5="","",IF(K5="TREND DOWN","NO",IF(K5="FLAT","YES","WAIT")))</f>
        <v/>
      </c>
      <c r="N5" s="27">
        <f>IF(K5="","",IF(COUNTIF(K4:K5,"FLAT")&gt;=8,"ACTIVATE","No: "&amp;COUNTIF(K4:K5,"FLAT")&amp;"/10"))</f>
        <v/>
      </c>
      <c r="O5" s="28" t="n"/>
    </row>
    <row r="6" ht="18" customHeight="1">
      <c r="A6" s="21" t="n">
        <v>3</v>
      </c>
      <c r="B6" s="22" t="n"/>
      <c r="C6" s="23" t="n"/>
      <c r="D6" s="23" t="n"/>
      <c r="E6" s="23" t="n"/>
      <c r="F6" s="23" t="n"/>
      <c r="G6" s="15">
        <f>IF(AND(D6&lt;&gt;"",E6&lt;&gt;""),D6-E6,"")</f>
        <v/>
      </c>
      <c r="H6" s="15">
        <f>IF(AND(C6&lt;&gt;"",F6&lt;&gt;""),C6-F6,"")</f>
        <v/>
      </c>
      <c r="I6" s="15">
        <f>IF(AND(C6&lt;&gt;"",Dashbord!$B$8&lt;&gt;""),ABS(C6-Dashbord!$B$8),"")</f>
        <v/>
      </c>
      <c r="J6" s="24" t="n"/>
      <c r="K6" s="25">
        <f>IF(G6="","",IF(AND(G6&lt;6,ABS(H6)&lt;3,I6&lt;3),"FLAT",IF(OR(G6&gt;10,ABS(H6)&gt;6),IF(H6&gt;0,"TREND UP","TREND DOWN"),"WAIT")))</f>
        <v/>
      </c>
      <c r="L6" s="26">
        <f>IF(K6="","",IF(K6="FLAT","YES",IF(K6="TREND UP","NO","WAIT")))</f>
        <v/>
      </c>
      <c r="M6" s="26">
        <f>IF(K6="","",IF(K6="TREND DOWN","NO",IF(K6="FLAT","YES","WAIT")))</f>
        <v/>
      </c>
      <c r="N6" s="27">
        <f>IF(K6="","",IF(COUNTIF(K4:K6,"FLAT")&gt;=8,"ACTIVATE","No: "&amp;COUNTIF(K4:K6,"FLAT")&amp;"/10"))</f>
        <v/>
      </c>
      <c r="O6" s="28" t="n"/>
    </row>
    <row r="7" ht="18" customHeight="1">
      <c r="A7" s="21" t="n">
        <v>4</v>
      </c>
      <c r="B7" s="22" t="n"/>
      <c r="C7" s="23" t="n"/>
      <c r="D7" s="23" t="n"/>
      <c r="E7" s="23" t="n"/>
      <c r="F7" s="23" t="n"/>
      <c r="G7" s="15">
        <f>IF(AND(D7&lt;&gt;"",E7&lt;&gt;""),D7-E7,"")</f>
        <v/>
      </c>
      <c r="H7" s="15">
        <f>IF(AND(C7&lt;&gt;"",F7&lt;&gt;""),C7-F7,"")</f>
        <v/>
      </c>
      <c r="I7" s="15">
        <f>IF(AND(C7&lt;&gt;"",Dashbord!$B$8&lt;&gt;""),ABS(C7-Dashbord!$B$8),"")</f>
        <v/>
      </c>
      <c r="J7" s="24" t="n"/>
      <c r="K7" s="25">
        <f>IF(G7="","",IF(AND(G7&lt;6,ABS(H7)&lt;3,I7&lt;3),"FLAT",IF(OR(G7&gt;10,ABS(H7)&gt;6),IF(H7&gt;0,"TREND UP","TREND DOWN"),"WAIT")))</f>
        <v/>
      </c>
      <c r="L7" s="26">
        <f>IF(K7="","",IF(K7="FLAT","YES",IF(K7="TREND UP","NO","WAIT")))</f>
        <v/>
      </c>
      <c r="M7" s="26">
        <f>IF(K7="","",IF(K7="TREND DOWN","NO",IF(K7="FLAT","YES","WAIT")))</f>
        <v/>
      </c>
      <c r="N7" s="27">
        <f>IF(K7="","",IF(COUNTIF(K4:K7,"FLAT")&gt;=8,"ACTIVATE","No: "&amp;COUNTIF(K4:K7,"FLAT")&amp;"/10"))</f>
        <v/>
      </c>
      <c r="O7" s="28" t="n"/>
    </row>
    <row r="8" ht="18" customHeight="1">
      <c r="A8" s="21" t="n">
        <v>5</v>
      </c>
      <c r="B8" s="22" t="n"/>
      <c r="C8" s="23" t="n"/>
      <c r="D8" s="23" t="n"/>
      <c r="E8" s="23" t="n"/>
      <c r="F8" s="23" t="n"/>
      <c r="G8" s="15">
        <f>IF(AND(D8&lt;&gt;"",E8&lt;&gt;""),D8-E8,"")</f>
        <v/>
      </c>
      <c r="H8" s="15">
        <f>IF(AND(C8&lt;&gt;"",F8&lt;&gt;""),C8-F8,"")</f>
        <v/>
      </c>
      <c r="I8" s="15">
        <f>IF(AND(C8&lt;&gt;"",Dashbord!$B$8&lt;&gt;""),ABS(C8-Dashbord!$B$8),"")</f>
        <v/>
      </c>
      <c r="J8" s="24" t="n"/>
      <c r="K8" s="25">
        <f>IF(G8="","",IF(AND(G8&lt;6,ABS(H8)&lt;3,I8&lt;3),"FLAT",IF(OR(G8&gt;10,ABS(H8)&gt;6),IF(H8&gt;0,"TREND UP","TREND DOWN"),"WAIT")))</f>
        <v/>
      </c>
      <c r="L8" s="26">
        <f>IF(K8="","",IF(K8="FLAT","YES",IF(K8="TREND UP","NO","WAIT")))</f>
        <v/>
      </c>
      <c r="M8" s="26">
        <f>IF(K8="","",IF(K8="TREND DOWN","NO",IF(K8="FLAT","YES","WAIT")))</f>
        <v/>
      </c>
      <c r="N8" s="27">
        <f>IF(K8="","",IF(COUNTIF(K4:K8,"FLAT")&gt;=8,"ACTIVATE","No: "&amp;COUNTIF(K4:K8,"FLAT")&amp;"/10"))</f>
        <v/>
      </c>
      <c r="O8" s="28" t="n"/>
    </row>
    <row r="9" ht="18" customHeight="1">
      <c r="A9" s="21" t="n">
        <v>6</v>
      </c>
      <c r="B9" s="22" t="n"/>
      <c r="C9" s="23" t="n"/>
      <c r="D9" s="23" t="n"/>
      <c r="E9" s="23" t="n"/>
      <c r="F9" s="23" t="n"/>
      <c r="G9" s="15">
        <f>IF(AND(D9&lt;&gt;"",E9&lt;&gt;""),D9-E9,"")</f>
        <v/>
      </c>
      <c r="H9" s="15">
        <f>IF(AND(C9&lt;&gt;"",F9&lt;&gt;""),C9-F9,"")</f>
        <v/>
      </c>
      <c r="I9" s="15">
        <f>IF(AND(C9&lt;&gt;"",Dashbord!$B$8&lt;&gt;""),ABS(C9-Dashbord!$B$8),"")</f>
        <v/>
      </c>
      <c r="J9" s="24" t="n"/>
      <c r="K9" s="25">
        <f>IF(G9="","",IF(AND(G9&lt;6,ABS(H9)&lt;3,I9&lt;3),"FLAT",IF(OR(G9&gt;10,ABS(H9)&gt;6),IF(H9&gt;0,"TREND UP","TREND DOWN"),"WAIT")))</f>
        <v/>
      </c>
      <c r="L9" s="26">
        <f>IF(K9="","",IF(K9="FLAT","YES",IF(K9="TREND UP","NO","WAIT")))</f>
        <v/>
      </c>
      <c r="M9" s="26">
        <f>IF(K9="","",IF(K9="TREND DOWN","NO",IF(K9="FLAT","YES","WAIT")))</f>
        <v/>
      </c>
      <c r="N9" s="27">
        <f>IF(K9="","",IF(COUNTIF(K4:K9,"FLAT")&gt;=8,"ACTIVATE","No: "&amp;COUNTIF(K4:K9,"FLAT")&amp;"/10"))</f>
        <v/>
      </c>
      <c r="O9" s="28" t="n"/>
    </row>
    <row r="10" ht="18" customHeight="1">
      <c r="A10" s="21" t="n">
        <v>7</v>
      </c>
      <c r="B10" s="22" t="n"/>
      <c r="C10" s="23" t="n"/>
      <c r="D10" s="23" t="n"/>
      <c r="E10" s="23" t="n"/>
      <c r="F10" s="23" t="n"/>
      <c r="G10" s="15">
        <f>IF(AND(D10&lt;&gt;"",E10&lt;&gt;""),D10-E10,"")</f>
        <v/>
      </c>
      <c r="H10" s="15">
        <f>IF(AND(C10&lt;&gt;"",F10&lt;&gt;""),C10-F10,"")</f>
        <v/>
      </c>
      <c r="I10" s="15">
        <f>IF(AND(C10&lt;&gt;"",Dashbord!$B$8&lt;&gt;""),ABS(C10-Dashbord!$B$8),"")</f>
        <v/>
      </c>
      <c r="J10" s="24" t="n"/>
      <c r="K10" s="25">
        <f>IF(G10="","",IF(AND(G10&lt;6,ABS(H10)&lt;3,I10&lt;3),"FLAT",IF(OR(G10&gt;10,ABS(H10)&gt;6),IF(H10&gt;0,"TREND UP","TREND DOWN"),"WAIT")))</f>
        <v/>
      </c>
      <c r="L10" s="26">
        <f>IF(K10="","",IF(K10="FLAT","YES",IF(K10="TREND UP","NO","WAIT")))</f>
        <v/>
      </c>
      <c r="M10" s="26">
        <f>IF(K10="","",IF(K10="TREND DOWN","NO",IF(K10="FLAT","YES","WAIT")))</f>
        <v/>
      </c>
      <c r="N10" s="27">
        <f>IF(K10="","",IF(COUNTIF(K4:K10,"FLAT")&gt;=8,"ACTIVATE","No: "&amp;COUNTIF(K4:K10,"FLAT")&amp;"/10"))</f>
        <v/>
      </c>
      <c r="O10" s="28" t="n"/>
    </row>
    <row r="11" ht="18" customHeight="1">
      <c r="A11" s="21" t="n">
        <v>8</v>
      </c>
      <c r="B11" s="22" t="n"/>
      <c r="C11" s="23" t="n"/>
      <c r="D11" s="23" t="n"/>
      <c r="E11" s="23" t="n"/>
      <c r="F11" s="23" t="n"/>
      <c r="G11" s="15">
        <f>IF(AND(D11&lt;&gt;"",E11&lt;&gt;""),D11-E11,"")</f>
        <v/>
      </c>
      <c r="H11" s="15">
        <f>IF(AND(C11&lt;&gt;"",F11&lt;&gt;""),C11-F11,"")</f>
        <v/>
      </c>
      <c r="I11" s="15">
        <f>IF(AND(C11&lt;&gt;"",Dashbord!$B$8&lt;&gt;""),ABS(C11-Dashbord!$B$8),"")</f>
        <v/>
      </c>
      <c r="J11" s="24" t="n"/>
      <c r="K11" s="25">
        <f>IF(G11="","",IF(AND(G11&lt;6,ABS(H11)&lt;3,I11&lt;3),"FLAT",IF(OR(G11&gt;10,ABS(H11)&gt;6),IF(H11&gt;0,"TREND UP","TREND DOWN"),"WAIT")))</f>
        <v/>
      </c>
      <c r="L11" s="26">
        <f>IF(K11="","",IF(K11="FLAT","YES",IF(K11="TREND UP","NO","WAIT")))</f>
        <v/>
      </c>
      <c r="M11" s="26">
        <f>IF(K11="","",IF(K11="TREND DOWN","NO",IF(K11="FLAT","YES","WAIT")))</f>
        <v/>
      </c>
      <c r="N11" s="27">
        <f>IF(K11="","",IF(COUNTIF(K4:K11,"FLAT")&gt;=8,"ACTIVATE","No: "&amp;COUNTIF(K4:K11,"FLAT")&amp;"/10"))</f>
        <v/>
      </c>
      <c r="O11" s="28" t="n"/>
    </row>
    <row r="12" ht="18" customHeight="1">
      <c r="A12" s="21" t="n">
        <v>9</v>
      </c>
      <c r="B12" s="22" t="n"/>
      <c r="C12" s="23" t="n"/>
      <c r="D12" s="23" t="n"/>
      <c r="E12" s="23" t="n"/>
      <c r="F12" s="23" t="n"/>
      <c r="G12" s="15">
        <f>IF(AND(D12&lt;&gt;"",E12&lt;&gt;""),D12-E12,"")</f>
        <v/>
      </c>
      <c r="H12" s="15">
        <f>IF(AND(C12&lt;&gt;"",F12&lt;&gt;""),C12-F12,"")</f>
        <v/>
      </c>
      <c r="I12" s="15">
        <f>IF(AND(C12&lt;&gt;"",Dashbord!$B$8&lt;&gt;""),ABS(C12-Dashbord!$B$8),"")</f>
        <v/>
      </c>
      <c r="J12" s="24" t="n"/>
      <c r="K12" s="25">
        <f>IF(G12="","",IF(AND(G12&lt;6,ABS(H12)&lt;3,I12&lt;3),"FLAT",IF(OR(G12&gt;10,ABS(H12)&gt;6),IF(H12&gt;0,"TREND UP","TREND DOWN"),"WAIT")))</f>
        <v/>
      </c>
      <c r="L12" s="26">
        <f>IF(K12="","",IF(K12="FLAT","YES",IF(K12="TREND UP","NO","WAIT")))</f>
        <v/>
      </c>
      <c r="M12" s="26">
        <f>IF(K12="","",IF(K12="TREND DOWN","NO",IF(K12="FLAT","YES","WAIT")))</f>
        <v/>
      </c>
      <c r="N12" s="27">
        <f>IF(K12="","",IF(COUNTIF(K4:K12,"FLAT")&gt;=8,"ACTIVATE","No: "&amp;COUNTIF(K4:K12,"FLAT")&amp;"/10"))</f>
        <v/>
      </c>
      <c r="O12" s="28" t="n"/>
    </row>
    <row r="13" ht="18" customHeight="1">
      <c r="A13" s="21" t="n">
        <v>10</v>
      </c>
      <c r="B13" s="22" t="n"/>
      <c r="C13" s="23" t="n"/>
      <c r="D13" s="23" t="n"/>
      <c r="E13" s="23" t="n"/>
      <c r="F13" s="23" t="n"/>
      <c r="G13" s="15">
        <f>IF(AND(D13&lt;&gt;"",E13&lt;&gt;""),D13-E13,"")</f>
        <v/>
      </c>
      <c r="H13" s="15">
        <f>IF(AND(C13&lt;&gt;"",F13&lt;&gt;""),C13-F13,"")</f>
        <v/>
      </c>
      <c r="I13" s="15">
        <f>IF(AND(C13&lt;&gt;"",Dashbord!$B$8&lt;&gt;""),ABS(C13-Dashbord!$B$8),"")</f>
        <v/>
      </c>
      <c r="J13" s="24" t="n"/>
      <c r="K13" s="25">
        <f>IF(G13="","",IF(AND(G13&lt;6,ABS(H13)&lt;3,I13&lt;3),"FLAT",IF(OR(G13&gt;10,ABS(H13)&gt;6),IF(H13&gt;0,"TREND UP","TREND DOWN"),"WAIT")))</f>
        <v/>
      </c>
      <c r="L13" s="26">
        <f>IF(K13="","",IF(K13="FLAT","YES",IF(K13="TREND UP","NO","WAIT")))</f>
        <v/>
      </c>
      <c r="M13" s="26">
        <f>IF(K13="","",IF(K13="TREND DOWN","NO",IF(K13="FLAT","YES","WAIT")))</f>
        <v/>
      </c>
      <c r="N13" s="27">
        <f>IF(K13="","",IF(COUNTIF(K4:K13,"FLAT")&gt;=8,"ACTIVATE","No: "&amp;COUNTIF(K4:K13,"FLAT")&amp;"/10"))</f>
        <v/>
      </c>
      <c r="O13" s="28" t="n"/>
    </row>
    <row r="14" ht="18" customHeight="1">
      <c r="A14" s="21" t="n">
        <v>11</v>
      </c>
      <c r="B14" s="22" t="n"/>
      <c r="C14" s="23" t="n"/>
      <c r="D14" s="23" t="n"/>
      <c r="E14" s="23" t="n"/>
      <c r="F14" s="23" t="n"/>
      <c r="G14" s="15">
        <f>IF(AND(D14&lt;&gt;"",E14&lt;&gt;""),D14-E14,"")</f>
        <v/>
      </c>
      <c r="H14" s="15">
        <f>IF(AND(C14&lt;&gt;"",F14&lt;&gt;""),C14-F14,"")</f>
        <v/>
      </c>
      <c r="I14" s="15">
        <f>IF(AND(C14&lt;&gt;"",Dashbord!$B$8&lt;&gt;""),ABS(C14-Dashbord!$B$8),"")</f>
        <v/>
      </c>
      <c r="J14" s="24" t="n"/>
      <c r="K14" s="25">
        <f>IF(G14="","",IF(AND(G14&lt;6,ABS(H14)&lt;3,I14&lt;3),"FLAT",IF(OR(G14&gt;10,ABS(H14)&gt;6),IF(H14&gt;0,"TREND UP","TREND DOWN"),"WAIT")))</f>
        <v/>
      </c>
      <c r="L14" s="26">
        <f>IF(K14="","",IF(K14="FLAT","YES",IF(K14="TREND UP","NO","WAIT")))</f>
        <v/>
      </c>
      <c r="M14" s="26">
        <f>IF(K14="","",IF(K14="TREND DOWN","NO",IF(K14="FLAT","YES","WAIT")))</f>
        <v/>
      </c>
      <c r="N14" s="27">
        <f>IF(K14="","",IF(COUNTIF(K5:K14,"FLAT")&gt;=8,"ACTIVATE","No: "&amp;COUNTIF(K5:K14,"FLAT")&amp;"/10"))</f>
        <v/>
      </c>
      <c r="O14" s="28" t="n"/>
    </row>
    <row r="15" ht="18" customHeight="1">
      <c r="A15" s="21" t="n">
        <v>12</v>
      </c>
      <c r="B15" s="22" t="n"/>
      <c r="C15" s="23" t="n"/>
      <c r="D15" s="23" t="n"/>
      <c r="E15" s="23" t="n"/>
      <c r="F15" s="23" t="n"/>
      <c r="G15" s="15">
        <f>IF(AND(D15&lt;&gt;"",E15&lt;&gt;""),D15-E15,"")</f>
        <v/>
      </c>
      <c r="H15" s="15">
        <f>IF(AND(C15&lt;&gt;"",F15&lt;&gt;""),C15-F15,"")</f>
        <v/>
      </c>
      <c r="I15" s="15">
        <f>IF(AND(C15&lt;&gt;"",Dashbord!$B$8&lt;&gt;""),ABS(C15-Dashbord!$B$8),"")</f>
        <v/>
      </c>
      <c r="J15" s="24" t="n"/>
      <c r="K15" s="25">
        <f>IF(G15="","",IF(AND(G15&lt;6,ABS(H15)&lt;3,I15&lt;3),"FLAT",IF(OR(G15&gt;10,ABS(H15)&gt;6),IF(H15&gt;0,"TREND UP","TREND DOWN"),"WAIT")))</f>
        <v/>
      </c>
      <c r="L15" s="26">
        <f>IF(K15="","",IF(K15="FLAT","YES",IF(K15="TREND UP","NO","WAIT")))</f>
        <v/>
      </c>
      <c r="M15" s="26">
        <f>IF(K15="","",IF(K15="TREND DOWN","NO",IF(K15="FLAT","YES","WAIT")))</f>
        <v/>
      </c>
      <c r="N15" s="27">
        <f>IF(K15="","",IF(COUNTIF(K6:K15,"FLAT")&gt;=8,"ACTIVATE","No: "&amp;COUNTIF(K6:K15,"FLAT")&amp;"/10"))</f>
        <v/>
      </c>
      <c r="O15" s="28" t="n"/>
    </row>
    <row r="16" ht="18" customHeight="1">
      <c r="A16" s="21" t="n">
        <v>13</v>
      </c>
      <c r="B16" s="22" t="n"/>
      <c r="C16" s="23" t="n"/>
      <c r="D16" s="23" t="n"/>
      <c r="E16" s="23" t="n"/>
      <c r="F16" s="23" t="n"/>
      <c r="G16" s="15">
        <f>IF(AND(D16&lt;&gt;"",E16&lt;&gt;""),D16-E16,"")</f>
        <v/>
      </c>
      <c r="H16" s="15">
        <f>IF(AND(C16&lt;&gt;"",F16&lt;&gt;""),C16-F16,"")</f>
        <v/>
      </c>
      <c r="I16" s="15">
        <f>IF(AND(C16&lt;&gt;"",Dashbord!$B$8&lt;&gt;""),ABS(C16-Dashbord!$B$8),"")</f>
        <v/>
      </c>
      <c r="J16" s="24" t="n"/>
      <c r="K16" s="25">
        <f>IF(G16="","",IF(AND(G16&lt;6,ABS(H16)&lt;3,I16&lt;3),"FLAT",IF(OR(G16&gt;10,ABS(H16)&gt;6),IF(H16&gt;0,"TREND UP","TREND DOWN"),"WAIT")))</f>
        <v/>
      </c>
      <c r="L16" s="26">
        <f>IF(K16="","",IF(K16="FLAT","YES",IF(K16="TREND UP","NO","WAIT")))</f>
        <v/>
      </c>
      <c r="M16" s="26">
        <f>IF(K16="","",IF(K16="TREND DOWN","NO",IF(K16="FLAT","YES","WAIT")))</f>
        <v/>
      </c>
      <c r="N16" s="27">
        <f>IF(K16="","",IF(COUNTIF(K7:K16,"FLAT")&gt;=8,"ACTIVATE","No: "&amp;COUNTIF(K7:K16,"FLAT")&amp;"/10"))</f>
        <v/>
      </c>
      <c r="O16" s="28" t="n"/>
    </row>
    <row r="17" ht="18" customHeight="1">
      <c r="A17" s="21" t="n">
        <v>14</v>
      </c>
      <c r="B17" s="22" t="n"/>
      <c r="C17" s="23" t="n"/>
      <c r="D17" s="23" t="n"/>
      <c r="E17" s="23" t="n"/>
      <c r="F17" s="23" t="n"/>
      <c r="G17" s="15">
        <f>IF(AND(D17&lt;&gt;"",E17&lt;&gt;""),D17-E17,"")</f>
        <v/>
      </c>
      <c r="H17" s="15">
        <f>IF(AND(C17&lt;&gt;"",F17&lt;&gt;""),C17-F17,"")</f>
        <v/>
      </c>
      <c r="I17" s="15">
        <f>IF(AND(C17&lt;&gt;"",Dashbord!$B$8&lt;&gt;""),ABS(C17-Dashbord!$B$8),"")</f>
        <v/>
      </c>
      <c r="J17" s="24" t="n"/>
      <c r="K17" s="25">
        <f>IF(G17="","",IF(AND(G17&lt;6,ABS(H17)&lt;3,I17&lt;3),"FLAT",IF(OR(G17&gt;10,ABS(H17)&gt;6),IF(H17&gt;0,"TREND UP","TREND DOWN"),"WAIT")))</f>
        <v/>
      </c>
      <c r="L17" s="26">
        <f>IF(K17="","",IF(K17="FLAT","YES",IF(K17="TREND UP","NO","WAIT")))</f>
        <v/>
      </c>
      <c r="M17" s="26">
        <f>IF(K17="","",IF(K17="TREND DOWN","NO",IF(K17="FLAT","YES","WAIT")))</f>
        <v/>
      </c>
      <c r="N17" s="27">
        <f>IF(K17="","",IF(COUNTIF(K8:K17,"FLAT")&gt;=8,"ACTIVATE","No: "&amp;COUNTIF(K8:K17,"FLAT")&amp;"/10"))</f>
        <v/>
      </c>
      <c r="O17" s="28" t="n"/>
    </row>
    <row r="18" ht="18" customHeight="1">
      <c r="A18" s="21" t="n">
        <v>15</v>
      </c>
      <c r="B18" s="22" t="n"/>
      <c r="C18" s="23" t="n"/>
      <c r="D18" s="23" t="n"/>
      <c r="E18" s="23" t="n"/>
      <c r="F18" s="23" t="n"/>
      <c r="G18" s="15">
        <f>IF(AND(D18&lt;&gt;"",E18&lt;&gt;""),D18-E18,"")</f>
        <v/>
      </c>
      <c r="H18" s="15">
        <f>IF(AND(C18&lt;&gt;"",F18&lt;&gt;""),C18-F18,"")</f>
        <v/>
      </c>
      <c r="I18" s="15">
        <f>IF(AND(C18&lt;&gt;"",Dashbord!$B$8&lt;&gt;""),ABS(C18-Dashbord!$B$8),"")</f>
        <v/>
      </c>
      <c r="J18" s="24" t="n"/>
      <c r="K18" s="25">
        <f>IF(G18="","",IF(AND(G18&lt;6,ABS(H18)&lt;3,I18&lt;3),"FLAT",IF(OR(G18&gt;10,ABS(H18)&gt;6),IF(H18&gt;0,"TREND UP","TREND DOWN"),"WAIT")))</f>
        <v/>
      </c>
      <c r="L18" s="26">
        <f>IF(K18="","",IF(K18="FLAT","YES",IF(K18="TREND UP","NO","WAIT")))</f>
        <v/>
      </c>
      <c r="M18" s="26">
        <f>IF(K18="","",IF(K18="TREND DOWN","NO",IF(K18="FLAT","YES","WAIT")))</f>
        <v/>
      </c>
      <c r="N18" s="27">
        <f>IF(K18="","",IF(COUNTIF(K9:K18,"FLAT")&gt;=8,"ACTIVATE","No: "&amp;COUNTIF(K9:K18,"FLAT")&amp;"/10"))</f>
        <v/>
      </c>
      <c r="O18" s="28" t="n"/>
    </row>
    <row r="19" ht="18" customHeight="1">
      <c r="A19" s="21" t="n">
        <v>16</v>
      </c>
      <c r="B19" s="22" t="n"/>
      <c r="C19" s="23" t="n"/>
      <c r="D19" s="23" t="n"/>
      <c r="E19" s="23" t="n"/>
      <c r="F19" s="23" t="n"/>
      <c r="G19" s="15">
        <f>IF(AND(D19&lt;&gt;"",E19&lt;&gt;""),D19-E19,"")</f>
        <v/>
      </c>
      <c r="H19" s="15">
        <f>IF(AND(C19&lt;&gt;"",F19&lt;&gt;""),C19-F19,"")</f>
        <v/>
      </c>
      <c r="I19" s="15">
        <f>IF(AND(C19&lt;&gt;"",Dashbord!$B$8&lt;&gt;""),ABS(C19-Dashbord!$B$8),"")</f>
        <v/>
      </c>
      <c r="J19" s="24" t="n"/>
      <c r="K19" s="25">
        <f>IF(G19="","",IF(AND(G19&lt;6,ABS(H19)&lt;3,I19&lt;3),"FLAT",IF(OR(G19&gt;10,ABS(H19)&gt;6),IF(H19&gt;0,"TREND UP","TREND DOWN"),"WAIT")))</f>
        <v/>
      </c>
      <c r="L19" s="26">
        <f>IF(K19="","",IF(K19="FLAT","YES",IF(K19="TREND UP","NO","WAIT")))</f>
        <v/>
      </c>
      <c r="M19" s="26">
        <f>IF(K19="","",IF(K19="TREND DOWN","NO",IF(K19="FLAT","YES","WAIT")))</f>
        <v/>
      </c>
      <c r="N19" s="27">
        <f>IF(K19="","",IF(COUNTIF(K10:K19,"FLAT")&gt;=8,"ACTIVATE","No: "&amp;COUNTIF(K10:K19,"FLAT")&amp;"/10"))</f>
        <v/>
      </c>
      <c r="O19" s="28" t="n"/>
    </row>
    <row r="20" ht="18" customHeight="1">
      <c r="A20" s="21" t="n">
        <v>17</v>
      </c>
      <c r="B20" s="22" t="n"/>
      <c r="C20" s="23" t="n"/>
      <c r="D20" s="23" t="n"/>
      <c r="E20" s="23" t="n"/>
      <c r="F20" s="23" t="n"/>
      <c r="G20" s="15">
        <f>IF(AND(D20&lt;&gt;"",E20&lt;&gt;""),D20-E20,"")</f>
        <v/>
      </c>
      <c r="H20" s="15">
        <f>IF(AND(C20&lt;&gt;"",F20&lt;&gt;""),C20-F20,"")</f>
        <v/>
      </c>
      <c r="I20" s="15">
        <f>IF(AND(C20&lt;&gt;"",Dashbord!$B$8&lt;&gt;""),ABS(C20-Dashbord!$B$8),"")</f>
        <v/>
      </c>
      <c r="J20" s="24" t="n"/>
      <c r="K20" s="25">
        <f>IF(G20="","",IF(AND(G20&lt;6,ABS(H20)&lt;3,I20&lt;3),"FLAT",IF(OR(G20&gt;10,ABS(H20)&gt;6),IF(H20&gt;0,"TREND UP","TREND DOWN"),"WAIT")))</f>
        <v/>
      </c>
      <c r="L20" s="26">
        <f>IF(K20="","",IF(K20="FLAT","YES",IF(K20="TREND UP","NO","WAIT")))</f>
        <v/>
      </c>
      <c r="M20" s="26">
        <f>IF(K20="","",IF(K20="TREND DOWN","NO",IF(K20="FLAT","YES","WAIT")))</f>
        <v/>
      </c>
      <c r="N20" s="27">
        <f>IF(K20="","",IF(COUNTIF(K11:K20,"FLAT")&gt;=8,"ACTIVATE","No: "&amp;COUNTIF(K11:K20,"FLAT")&amp;"/10"))</f>
        <v/>
      </c>
      <c r="O20" s="28" t="n"/>
    </row>
    <row r="21" ht="18" customHeight="1">
      <c r="A21" s="21" t="n">
        <v>18</v>
      </c>
      <c r="B21" s="22" t="n"/>
      <c r="C21" s="23" t="n"/>
      <c r="D21" s="23" t="n"/>
      <c r="E21" s="23" t="n"/>
      <c r="F21" s="23" t="n"/>
      <c r="G21" s="15">
        <f>IF(AND(D21&lt;&gt;"",E21&lt;&gt;""),D21-E21,"")</f>
        <v/>
      </c>
      <c r="H21" s="15">
        <f>IF(AND(C21&lt;&gt;"",F21&lt;&gt;""),C21-F21,"")</f>
        <v/>
      </c>
      <c r="I21" s="15">
        <f>IF(AND(C21&lt;&gt;"",Dashbord!$B$8&lt;&gt;""),ABS(C21-Dashbord!$B$8),"")</f>
        <v/>
      </c>
      <c r="J21" s="24" t="n"/>
      <c r="K21" s="25">
        <f>IF(G21="","",IF(AND(G21&lt;6,ABS(H21)&lt;3,I21&lt;3),"FLAT",IF(OR(G21&gt;10,ABS(H21)&gt;6),IF(H21&gt;0,"TREND UP","TREND DOWN"),"WAIT")))</f>
        <v/>
      </c>
      <c r="L21" s="26">
        <f>IF(K21="","",IF(K21="FLAT","YES",IF(K21="TREND UP","NO","WAIT")))</f>
        <v/>
      </c>
      <c r="M21" s="26">
        <f>IF(K21="","",IF(K21="TREND DOWN","NO",IF(K21="FLAT","YES","WAIT")))</f>
        <v/>
      </c>
      <c r="N21" s="27">
        <f>IF(K21="","",IF(COUNTIF(K12:K21,"FLAT")&gt;=8,"ACTIVATE","No: "&amp;COUNTIF(K12:K21,"FLAT")&amp;"/10"))</f>
        <v/>
      </c>
      <c r="O21" s="28" t="n"/>
    </row>
    <row r="22" ht="18" customHeight="1">
      <c r="A22" s="21" t="n">
        <v>19</v>
      </c>
      <c r="B22" s="22" t="n"/>
      <c r="C22" s="23" t="n"/>
      <c r="D22" s="23" t="n"/>
      <c r="E22" s="23" t="n"/>
      <c r="F22" s="23" t="n"/>
      <c r="G22" s="15">
        <f>IF(AND(D22&lt;&gt;"",E22&lt;&gt;""),D22-E22,"")</f>
        <v/>
      </c>
      <c r="H22" s="15">
        <f>IF(AND(C22&lt;&gt;"",F22&lt;&gt;""),C22-F22,"")</f>
        <v/>
      </c>
      <c r="I22" s="15">
        <f>IF(AND(C22&lt;&gt;"",Dashbord!$B$8&lt;&gt;""),ABS(C22-Dashbord!$B$8),"")</f>
        <v/>
      </c>
      <c r="J22" s="24" t="n"/>
      <c r="K22" s="25">
        <f>IF(G22="","",IF(AND(G22&lt;6,ABS(H22)&lt;3,I22&lt;3),"FLAT",IF(OR(G22&gt;10,ABS(H22)&gt;6),IF(H22&gt;0,"TREND UP","TREND DOWN"),"WAIT")))</f>
        <v/>
      </c>
      <c r="L22" s="26">
        <f>IF(K22="","",IF(K22="FLAT","YES",IF(K22="TREND UP","NO","WAIT")))</f>
        <v/>
      </c>
      <c r="M22" s="26">
        <f>IF(K22="","",IF(K22="TREND DOWN","NO",IF(K22="FLAT","YES","WAIT")))</f>
        <v/>
      </c>
      <c r="N22" s="27">
        <f>IF(K22="","",IF(COUNTIF(K13:K22,"FLAT")&gt;=8,"ACTIVATE","No: "&amp;COUNTIF(K13:K22,"FLAT")&amp;"/10"))</f>
        <v/>
      </c>
      <c r="O22" s="28" t="n"/>
    </row>
    <row r="23" ht="18" customHeight="1">
      <c r="A23" s="21" t="n">
        <v>20</v>
      </c>
      <c r="B23" s="22" t="n"/>
      <c r="C23" s="23" t="n"/>
      <c r="D23" s="23" t="n"/>
      <c r="E23" s="23" t="n"/>
      <c r="F23" s="23" t="n"/>
      <c r="G23" s="15">
        <f>IF(AND(D23&lt;&gt;"",E23&lt;&gt;""),D23-E23,"")</f>
        <v/>
      </c>
      <c r="H23" s="15">
        <f>IF(AND(C23&lt;&gt;"",F23&lt;&gt;""),C23-F23,"")</f>
        <v/>
      </c>
      <c r="I23" s="15">
        <f>IF(AND(C23&lt;&gt;"",Dashbord!$B$8&lt;&gt;""),ABS(C23-Dashbord!$B$8),"")</f>
        <v/>
      </c>
      <c r="J23" s="24" t="n"/>
      <c r="K23" s="25">
        <f>IF(G23="","",IF(AND(G23&lt;6,ABS(H23)&lt;3,I23&lt;3),"FLAT",IF(OR(G23&gt;10,ABS(H23)&gt;6),IF(H23&gt;0,"TREND UP","TREND DOWN"),"WAIT")))</f>
        <v/>
      </c>
      <c r="L23" s="26">
        <f>IF(K23="","",IF(K23="FLAT","YES",IF(K23="TREND UP","NO","WAIT")))</f>
        <v/>
      </c>
      <c r="M23" s="26">
        <f>IF(K23="","",IF(K23="TREND DOWN","NO",IF(K23="FLAT","YES","WAIT")))</f>
        <v/>
      </c>
      <c r="N23" s="27">
        <f>IF(K23="","",IF(COUNTIF(K14:K23,"FLAT")&gt;=8,"ACTIVATE","No: "&amp;COUNTIF(K14:K23,"FLAT")&amp;"/10"))</f>
        <v/>
      </c>
      <c r="O23" s="28" t="n"/>
    </row>
    <row r="24" ht="18" customHeight="1">
      <c r="A24" s="21" t="n">
        <v>21</v>
      </c>
      <c r="B24" s="22" t="n"/>
      <c r="C24" s="23" t="n"/>
      <c r="D24" s="23" t="n"/>
      <c r="E24" s="23" t="n"/>
      <c r="F24" s="23" t="n"/>
      <c r="G24" s="15">
        <f>IF(AND(D24&lt;&gt;"",E24&lt;&gt;""),D24-E24,"")</f>
        <v/>
      </c>
      <c r="H24" s="15">
        <f>IF(AND(C24&lt;&gt;"",F24&lt;&gt;""),C24-F24,"")</f>
        <v/>
      </c>
      <c r="I24" s="15">
        <f>IF(AND(C24&lt;&gt;"",Dashbord!$B$8&lt;&gt;""),ABS(C24-Dashbord!$B$8),"")</f>
        <v/>
      </c>
      <c r="J24" s="24" t="n"/>
      <c r="K24" s="25">
        <f>IF(G24="","",IF(AND(G24&lt;6,ABS(H24)&lt;3,I24&lt;3),"FLAT",IF(OR(G24&gt;10,ABS(H24)&gt;6),IF(H24&gt;0,"TREND UP","TREND DOWN"),"WAIT")))</f>
        <v/>
      </c>
      <c r="L24" s="26">
        <f>IF(K24="","",IF(K24="FLAT","YES",IF(K24="TREND UP","NO","WAIT")))</f>
        <v/>
      </c>
      <c r="M24" s="26">
        <f>IF(K24="","",IF(K24="TREND DOWN","NO",IF(K24="FLAT","YES","WAIT")))</f>
        <v/>
      </c>
      <c r="N24" s="27">
        <f>IF(K24="","",IF(COUNTIF(K15:K24,"FLAT")&gt;=8,"ACTIVATE","No: "&amp;COUNTIF(K15:K24,"FLAT")&amp;"/10"))</f>
        <v/>
      </c>
      <c r="O24" s="28" t="n"/>
    </row>
    <row r="25" ht="18" customHeight="1">
      <c r="A25" s="21" t="n">
        <v>22</v>
      </c>
      <c r="B25" s="22" t="n"/>
      <c r="C25" s="23" t="n"/>
      <c r="D25" s="23" t="n"/>
      <c r="E25" s="23" t="n"/>
      <c r="F25" s="23" t="n"/>
      <c r="G25" s="15">
        <f>IF(AND(D25&lt;&gt;"",E25&lt;&gt;""),D25-E25,"")</f>
        <v/>
      </c>
      <c r="H25" s="15">
        <f>IF(AND(C25&lt;&gt;"",F25&lt;&gt;""),C25-F25,"")</f>
        <v/>
      </c>
      <c r="I25" s="15">
        <f>IF(AND(C25&lt;&gt;"",Dashbord!$B$8&lt;&gt;""),ABS(C25-Dashbord!$B$8),"")</f>
        <v/>
      </c>
      <c r="J25" s="24" t="n"/>
      <c r="K25" s="25">
        <f>IF(G25="","",IF(AND(G25&lt;6,ABS(H25)&lt;3,I25&lt;3),"FLAT",IF(OR(G25&gt;10,ABS(H25)&gt;6),IF(H25&gt;0,"TREND UP","TREND DOWN"),"WAIT")))</f>
        <v/>
      </c>
      <c r="L25" s="26">
        <f>IF(K25="","",IF(K25="FLAT","YES",IF(K25="TREND UP","NO","WAIT")))</f>
        <v/>
      </c>
      <c r="M25" s="26">
        <f>IF(K25="","",IF(K25="TREND DOWN","NO",IF(K25="FLAT","YES","WAIT")))</f>
        <v/>
      </c>
      <c r="N25" s="27">
        <f>IF(K25="","",IF(COUNTIF(K16:K25,"FLAT")&gt;=8,"ACTIVATE","No: "&amp;COUNTIF(K16:K25,"FLAT")&amp;"/10"))</f>
        <v/>
      </c>
      <c r="O25" s="28" t="n"/>
    </row>
    <row r="26" ht="18" customHeight="1">
      <c r="A26" s="21" t="n">
        <v>23</v>
      </c>
      <c r="B26" s="22" t="n"/>
      <c r="C26" s="23" t="n"/>
      <c r="D26" s="23" t="n"/>
      <c r="E26" s="23" t="n"/>
      <c r="F26" s="23" t="n"/>
      <c r="G26" s="15">
        <f>IF(AND(D26&lt;&gt;"",E26&lt;&gt;""),D26-E26,"")</f>
        <v/>
      </c>
      <c r="H26" s="15">
        <f>IF(AND(C26&lt;&gt;"",F26&lt;&gt;""),C26-F26,"")</f>
        <v/>
      </c>
      <c r="I26" s="15">
        <f>IF(AND(C26&lt;&gt;"",Dashbord!$B$8&lt;&gt;""),ABS(C26-Dashbord!$B$8),"")</f>
        <v/>
      </c>
      <c r="J26" s="24" t="n"/>
      <c r="K26" s="25">
        <f>IF(G26="","",IF(AND(G26&lt;6,ABS(H26)&lt;3,I26&lt;3),"FLAT",IF(OR(G26&gt;10,ABS(H26)&gt;6),IF(H26&gt;0,"TREND UP","TREND DOWN"),"WAIT")))</f>
        <v/>
      </c>
      <c r="L26" s="26">
        <f>IF(K26="","",IF(K26="FLAT","YES",IF(K26="TREND UP","NO","WAIT")))</f>
        <v/>
      </c>
      <c r="M26" s="26">
        <f>IF(K26="","",IF(K26="TREND DOWN","NO",IF(K26="FLAT","YES","WAIT")))</f>
        <v/>
      </c>
      <c r="N26" s="27">
        <f>IF(K26="","",IF(COUNTIF(K17:K26,"FLAT")&gt;=8,"ACTIVATE","No: "&amp;COUNTIF(K17:K26,"FLAT")&amp;"/10"))</f>
        <v/>
      </c>
      <c r="O26" s="28" t="n"/>
    </row>
    <row r="27" ht="18" customHeight="1">
      <c r="A27" s="21" t="n">
        <v>24</v>
      </c>
      <c r="B27" s="22" t="n"/>
      <c r="C27" s="23" t="n"/>
      <c r="D27" s="23" t="n"/>
      <c r="E27" s="23" t="n"/>
      <c r="F27" s="23" t="n"/>
      <c r="G27" s="15">
        <f>IF(AND(D27&lt;&gt;"",E27&lt;&gt;""),D27-E27,"")</f>
        <v/>
      </c>
      <c r="H27" s="15">
        <f>IF(AND(C27&lt;&gt;"",F27&lt;&gt;""),C27-F27,"")</f>
        <v/>
      </c>
      <c r="I27" s="15">
        <f>IF(AND(C27&lt;&gt;"",Dashbord!$B$8&lt;&gt;""),ABS(C27-Dashbord!$B$8),"")</f>
        <v/>
      </c>
      <c r="J27" s="24" t="n"/>
      <c r="K27" s="25">
        <f>IF(G27="","",IF(AND(G27&lt;6,ABS(H27)&lt;3,I27&lt;3),"FLAT",IF(OR(G27&gt;10,ABS(H27)&gt;6),IF(H27&gt;0,"TREND UP","TREND DOWN"),"WAIT")))</f>
        <v/>
      </c>
      <c r="L27" s="26">
        <f>IF(K27="","",IF(K27="FLAT","YES",IF(K27="TREND UP","NO","WAIT")))</f>
        <v/>
      </c>
      <c r="M27" s="26">
        <f>IF(K27="","",IF(K27="TREND DOWN","NO",IF(K27="FLAT","YES","WAIT")))</f>
        <v/>
      </c>
      <c r="N27" s="27">
        <f>IF(K27="","",IF(COUNTIF(K18:K27,"FLAT")&gt;=8,"ACTIVATE","No: "&amp;COUNTIF(K18:K27,"FLAT")&amp;"/10"))</f>
        <v/>
      </c>
      <c r="O27" s="28" t="n"/>
    </row>
    <row r="28" ht="18" customHeight="1">
      <c r="A28" s="21" t="n">
        <v>25</v>
      </c>
      <c r="B28" s="22" t="n"/>
      <c r="C28" s="23" t="n"/>
      <c r="D28" s="23" t="n"/>
      <c r="E28" s="23" t="n"/>
      <c r="F28" s="23" t="n"/>
      <c r="G28" s="15">
        <f>IF(AND(D28&lt;&gt;"",E28&lt;&gt;""),D28-E28,"")</f>
        <v/>
      </c>
      <c r="H28" s="15">
        <f>IF(AND(C28&lt;&gt;"",F28&lt;&gt;""),C28-F28,"")</f>
        <v/>
      </c>
      <c r="I28" s="15">
        <f>IF(AND(C28&lt;&gt;"",Dashbord!$B$8&lt;&gt;""),ABS(C28-Dashbord!$B$8),"")</f>
        <v/>
      </c>
      <c r="J28" s="24" t="n"/>
      <c r="K28" s="25">
        <f>IF(G28="","",IF(AND(G28&lt;6,ABS(H28)&lt;3,I28&lt;3),"FLAT",IF(OR(G28&gt;10,ABS(H28)&gt;6),IF(H28&gt;0,"TREND UP","TREND DOWN"),"WAIT")))</f>
        <v/>
      </c>
      <c r="L28" s="26">
        <f>IF(K28="","",IF(K28="FLAT","YES",IF(K28="TREND UP","NO","WAIT")))</f>
        <v/>
      </c>
      <c r="M28" s="26">
        <f>IF(K28="","",IF(K28="TREND DOWN","NO",IF(K28="FLAT","YES","WAIT")))</f>
        <v/>
      </c>
      <c r="N28" s="27">
        <f>IF(K28="","",IF(COUNTIF(K19:K28,"FLAT")&gt;=8,"ACTIVATE","No: "&amp;COUNTIF(K19:K28,"FLAT")&amp;"/10"))</f>
        <v/>
      </c>
      <c r="O28" s="28" t="n"/>
    </row>
    <row r="29" ht="18" customHeight="1">
      <c r="A29" s="21" t="n">
        <v>26</v>
      </c>
      <c r="B29" s="22" t="n"/>
      <c r="C29" s="23" t="n"/>
      <c r="D29" s="23" t="n"/>
      <c r="E29" s="23" t="n"/>
      <c r="F29" s="23" t="n"/>
      <c r="G29" s="15">
        <f>IF(AND(D29&lt;&gt;"",E29&lt;&gt;""),D29-E29,"")</f>
        <v/>
      </c>
      <c r="H29" s="15">
        <f>IF(AND(C29&lt;&gt;"",F29&lt;&gt;""),C29-F29,"")</f>
        <v/>
      </c>
      <c r="I29" s="15">
        <f>IF(AND(C29&lt;&gt;"",Dashbord!$B$8&lt;&gt;""),ABS(C29-Dashbord!$B$8),"")</f>
        <v/>
      </c>
      <c r="J29" s="24" t="n"/>
      <c r="K29" s="25">
        <f>IF(G29="","",IF(AND(G29&lt;6,ABS(H29)&lt;3,I29&lt;3),"FLAT",IF(OR(G29&gt;10,ABS(H29)&gt;6),IF(H29&gt;0,"TREND UP","TREND DOWN"),"WAIT")))</f>
        <v/>
      </c>
      <c r="L29" s="26">
        <f>IF(K29="","",IF(K29="FLAT","YES",IF(K29="TREND UP","NO","WAIT")))</f>
        <v/>
      </c>
      <c r="M29" s="26">
        <f>IF(K29="","",IF(K29="TREND DOWN","NO",IF(K29="FLAT","YES","WAIT")))</f>
        <v/>
      </c>
      <c r="N29" s="27">
        <f>IF(K29="","",IF(COUNTIF(K20:K29,"FLAT")&gt;=8,"ACTIVATE","No: "&amp;COUNTIF(K20:K29,"FLAT")&amp;"/10"))</f>
        <v/>
      </c>
      <c r="O29" s="28" t="n"/>
    </row>
    <row r="30" ht="18" customHeight="1">
      <c r="A30" s="21" t="n">
        <v>27</v>
      </c>
      <c r="B30" s="22" t="n"/>
      <c r="C30" s="23" t="n"/>
      <c r="D30" s="23" t="n"/>
      <c r="E30" s="23" t="n"/>
      <c r="F30" s="23" t="n"/>
      <c r="G30" s="15">
        <f>IF(AND(D30&lt;&gt;"",E30&lt;&gt;""),D30-E30,"")</f>
        <v/>
      </c>
      <c r="H30" s="15">
        <f>IF(AND(C30&lt;&gt;"",F30&lt;&gt;""),C30-F30,"")</f>
        <v/>
      </c>
      <c r="I30" s="15">
        <f>IF(AND(C30&lt;&gt;"",Dashbord!$B$8&lt;&gt;""),ABS(C30-Dashbord!$B$8),"")</f>
        <v/>
      </c>
      <c r="J30" s="24" t="n"/>
      <c r="K30" s="25">
        <f>IF(G30="","",IF(AND(G30&lt;6,ABS(H30)&lt;3,I30&lt;3),"FLAT",IF(OR(G30&gt;10,ABS(H30)&gt;6),IF(H30&gt;0,"TREND UP","TREND DOWN"),"WAIT")))</f>
        <v/>
      </c>
      <c r="L30" s="26">
        <f>IF(K30="","",IF(K30="FLAT","YES",IF(K30="TREND UP","NO","WAIT")))</f>
        <v/>
      </c>
      <c r="M30" s="26">
        <f>IF(K30="","",IF(K30="TREND DOWN","NO",IF(K30="FLAT","YES","WAIT")))</f>
        <v/>
      </c>
      <c r="N30" s="27">
        <f>IF(K30="","",IF(COUNTIF(K21:K30,"FLAT")&gt;=8,"ACTIVATE","No: "&amp;COUNTIF(K21:K30,"FLAT")&amp;"/10"))</f>
        <v/>
      </c>
      <c r="O30" s="28" t="n"/>
    </row>
    <row r="31" ht="18" customHeight="1">
      <c r="A31" s="21" t="n">
        <v>28</v>
      </c>
      <c r="B31" s="22" t="n"/>
      <c r="C31" s="23" t="n"/>
      <c r="D31" s="23" t="n"/>
      <c r="E31" s="23" t="n"/>
      <c r="F31" s="23" t="n"/>
      <c r="G31" s="15">
        <f>IF(AND(D31&lt;&gt;"",E31&lt;&gt;""),D31-E31,"")</f>
        <v/>
      </c>
      <c r="H31" s="15">
        <f>IF(AND(C31&lt;&gt;"",F31&lt;&gt;""),C31-F31,"")</f>
        <v/>
      </c>
      <c r="I31" s="15">
        <f>IF(AND(C31&lt;&gt;"",Dashbord!$B$8&lt;&gt;""),ABS(C31-Dashbord!$B$8),"")</f>
        <v/>
      </c>
      <c r="J31" s="24" t="n"/>
      <c r="K31" s="25">
        <f>IF(G31="","",IF(AND(G31&lt;6,ABS(H31)&lt;3,I31&lt;3),"FLAT",IF(OR(G31&gt;10,ABS(H31)&gt;6),IF(H31&gt;0,"TREND UP","TREND DOWN"),"WAIT")))</f>
        <v/>
      </c>
      <c r="L31" s="26">
        <f>IF(K31="","",IF(K31="FLAT","YES",IF(K31="TREND UP","NO","WAIT")))</f>
        <v/>
      </c>
      <c r="M31" s="26">
        <f>IF(K31="","",IF(K31="TREND DOWN","NO",IF(K31="FLAT","YES","WAIT")))</f>
        <v/>
      </c>
      <c r="N31" s="27">
        <f>IF(K31="","",IF(COUNTIF(K22:K31,"FLAT")&gt;=8,"ACTIVATE","No: "&amp;COUNTIF(K22:K31,"FLAT")&amp;"/10"))</f>
        <v/>
      </c>
      <c r="O31" s="28" t="n"/>
    </row>
    <row r="32" ht="18" customHeight="1">
      <c r="A32" s="21" t="n">
        <v>29</v>
      </c>
      <c r="B32" s="22" t="n"/>
      <c r="C32" s="23" t="n"/>
      <c r="D32" s="23" t="n"/>
      <c r="E32" s="23" t="n"/>
      <c r="F32" s="23" t="n"/>
      <c r="G32" s="15">
        <f>IF(AND(D32&lt;&gt;"",E32&lt;&gt;""),D32-E32,"")</f>
        <v/>
      </c>
      <c r="H32" s="15">
        <f>IF(AND(C32&lt;&gt;"",F32&lt;&gt;""),C32-F32,"")</f>
        <v/>
      </c>
      <c r="I32" s="15">
        <f>IF(AND(C32&lt;&gt;"",Dashbord!$B$8&lt;&gt;""),ABS(C32-Dashbord!$B$8),"")</f>
        <v/>
      </c>
      <c r="J32" s="24" t="n"/>
      <c r="K32" s="25">
        <f>IF(G32="","",IF(AND(G32&lt;6,ABS(H32)&lt;3,I32&lt;3),"FLAT",IF(OR(G32&gt;10,ABS(H32)&gt;6),IF(H32&gt;0,"TREND UP","TREND DOWN"),"WAIT")))</f>
        <v/>
      </c>
      <c r="L32" s="26">
        <f>IF(K32="","",IF(K32="FLAT","YES",IF(K32="TREND UP","NO","WAIT")))</f>
        <v/>
      </c>
      <c r="M32" s="26">
        <f>IF(K32="","",IF(K32="TREND DOWN","NO",IF(K32="FLAT","YES","WAIT")))</f>
        <v/>
      </c>
      <c r="N32" s="27">
        <f>IF(K32="","",IF(COUNTIF(K23:K32,"FLAT")&gt;=8,"ACTIVATE","No: "&amp;COUNTIF(K23:K32,"FLAT")&amp;"/10"))</f>
        <v/>
      </c>
      <c r="O32" s="28" t="n"/>
    </row>
    <row r="33" ht="18" customHeight="1">
      <c r="A33" s="21" t="n">
        <v>30</v>
      </c>
      <c r="B33" s="22" t="n"/>
      <c r="C33" s="23" t="n"/>
      <c r="D33" s="23" t="n"/>
      <c r="E33" s="23" t="n"/>
      <c r="F33" s="23" t="n"/>
      <c r="G33" s="15">
        <f>IF(AND(D33&lt;&gt;"",E33&lt;&gt;""),D33-E33,"")</f>
        <v/>
      </c>
      <c r="H33" s="15">
        <f>IF(AND(C33&lt;&gt;"",F33&lt;&gt;""),C33-F33,"")</f>
        <v/>
      </c>
      <c r="I33" s="15">
        <f>IF(AND(C33&lt;&gt;"",Dashbord!$B$8&lt;&gt;""),ABS(C33-Dashbord!$B$8),"")</f>
        <v/>
      </c>
      <c r="J33" s="24" t="n"/>
      <c r="K33" s="25">
        <f>IF(G33="","",IF(AND(G33&lt;6,ABS(H33)&lt;3,I33&lt;3),"FLAT",IF(OR(G33&gt;10,ABS(H33)&gt;6),IF(H33&gt;0,"TREND UP","TREND DOWN"),"WAIT")))</f>
        <v/>
      </c>
      <c r="L33" s="26">
        <f>IF(K33="","",IF(K33="FLAT","YES",IF(K33="TREND UP","NO","WAIT")))</f>
        <v/>
      </c>
      <c r="M33" s="26">
        <f>IF(K33="","",IF(K33="TREND DOWN","NO",IF(K33="FLAT","YES","WAIT")))</f>
        <v/>
      </c>
      <c r="N33" s="27">
        <f>IF(K33="","",IF(COUNTIF(K24:K33,"FLAT")&gt;=8,"ACTIVATE","No: "&amp;COUNTIF(K24:K33,"FLAT")&amp;"/10"))</f>
        <v/>
      </c>
      <c r="O33" s="28" t="n"/>
    </row>
    <row r="34" ht="18" customHeight="1">
      <c r="A34" s="21" t="n">
        <v>31</v>
      </c>
      <c r="B34" s="22" t="n"/>
      <c r="C34" s="23" t="n"/>
      <c r="D34" s="23" t="n"/>
      <c r="E34" s="23" t="n"/>
      <c r="F34" s="23" t="n"/>
      <c r="G34" s="15">
        <f>IF(AND(D34&lt;&gt;"",E34&lt;&gt;""),D34-E34,"")</f>
        <v/>
      </c>
      <c r="H34" s="15">
        <f>IF(AND(C34&lt;&gt;"",F34&lt;&gt;""),C34-F34,"")</f>
        <v/>
      </c>
      <c r="I34" s="15">
        <f>IF(AND(C34&lt;&gt;"",Dashbord!$B$8&lt;&gt;""),ABS(C34-Dashbord!$B$8),"")</f>
        <v/>
      </c>
      <c r="J34" s="24" t="n"/>
      <c r="K34" s="25">
        <f>IF(G34="","",IF(AND(G34&lt;6,ABS(H34)&lt;3,I34&lt;3),"FLAT",IF(OR(G34&gt;10,ABS(H34)&gt;6),IF(H34&gt;0,"TREND UP","TREND DOWN"),"WAIT")))</f>
        <v/>
      </c>
      <c r="L34" s="26">
        <f>IF(K34="","",IF(K34="FLAT","YES",IF(K34="TREND UP","NO","WAIT")))</f>
        <v/>
      </c>
      <c r="M34" s="26">
        <f>IF(K34="","",IF(K34="TREND DOWN","NO",IF(K34="FLAT","YES","WAIT")))</f>
        <v/>
      </c>
      <c r="N34" s="27">
        <f>IF(K34="","",IF(COUNTIF(K25:K34,"FLAT")&gt;=8,"ACTIVATE","No: "&amp;COUNTIF(K25:K34,"FLAT")&amp;"/10"))</f>
        <v/>
      </c>
      <c r="O34" s="28" t="n"/>
    </row>
    <row r="35" ht="18" customHeight="1">
      <c r="A35" s="21" t="n">
        <v>32</v>
      </c>
      <c r="B35" s="22" t="n"/>
      <c r="C35" s="23" t="n"/>
      <c r="D35" s="23" t="n"/>
      <c r="E35" s="23" t="n"/>
      <c r="F35" s="23" t="n"/>
      <c r="G35" s="15">
        <f>IF(AND(D35&lt;&gt;"",E35&lt;&gt;""),D35-E35,"")</f>
        <v/>
      </c>
      <c r="H35" s="15">
        <f>IF(AND(C35&lt;&gt;"",F35&lt;&gt;""),C35-F35,"")</f>
        <v/>
      </c>
      <c r="I35" s="15">
        <f>IF(AND(C35&lt;&gt;"",Dashbord!$B$8&lt;&gt;""),ABS(C35-Dashbord!$B$8),"")</f>
        <v/>
      </c>
      <c r="J35" s="24" t="n"/>
      <c r="K35" s="25">
        <f>IF(G35="","",IF(AND(G35&lt;6,ABS(H35)&lt;3,I35&lt;3),"FLAT",IF(OR(G35&gt;10,ABS(H35)&gt;6),IF(H35&gt;0,"TREND UP","TREND DOWN"),"WAIT")))</f>
        <v/>
      </c>
      <c r="L35" s="26">
        <f>IF(K35="","",IF(K35="FLAT","YES",IF(K35="TREND UP","NO","WAIT")))</f>
        <v/>
      </c>
      <c r="M35" s="26">
        <f>IF(K35="","",IF(K35="TREND DOWN","NO",IF(K35="FLAT","YES","WAIT")))</f>
        <v/>
      </c>
      <c r="N35" s="27">
        <f>IF(K35="","",IF(COUNTIF(K26:K35,"FLAT")&gt;=8,"ACTIVATE","No: "&amp;COUNTIF(K26:K35,"FLAT")&amp;"/10"))</f>
        <v/>
      </c>
      <c r="O35" s="28" t="n"/>
    </row>
    <row r="36" ht="18" customHeight="1">
      <c r="A36" s="21" t="n">
        <v>33</v>
      </c>
      <c r="B36" s="22" t="n"/>
      <c r="C36" s="23" t="n"/>
      <c r="D36" s="23" t="n"/>
      <c r="E36" s="23" t="n"/>
      <c r="F36" s="23" t="n"/>
      <c r="G36" s="15">
        <f>IF(AND(D36&lt;&gt;"",E36&lt;&gt;""),D36-E36,"")</f>
        <v/>
      </c>
      <c r="H36" s="15">
        <f>IF(AND(C36&lt;&gt;"",F36&lt;&gt;""),C36-F36,"")</f>
        <v/>
      </c>
      <c r="I36" s="15">
        <f>IF(AND(C36&lt;&gt;"",Dashbord!$B$8&lt;&gt;""),ABS(C36-Dashbord!$B$8),"")</f>
        <v/>
      </c>
      <c r="J36" s="24" t="n"/>
      <c r="K36" s="25">
        <f>IF(G36="","",IF(AND(G36&lt;6,ABS(H36)&lt;3,I36&lt;3),"FLAT",IF(OR(G36&gt;10,ABS(H36)&gt;6),IF(H36&gt;0,"TREND UP","TREND DOWN"),"WAIT")))</f>
        <v/>
      </c>
      <c r="L36" s="26">
        <f>IF(K36="","",IF(K36="FLAT","YES",IF(K36="TREND UP","NO","WAIT")))</f>
        <v/>
      </c>
      <c r="M36" s="26">
        <f>IF(K36="","",IF(K36="TREND DOWN","NO",IF(K36="FLAT","YES","WAIT")))</f>
        <v/>
      </c>
      <c r="N36" s="27">
        <f>IF(K36="","",IF(COUNTIF(K27:K36,"FLAT")&gt;=8,"ACTIVATE","No: "&amp;COUNTIF(K27:K36,"FLAT")&amp;"/10"))</f>
        <v/>
      </c>
      <c r="O36" s="28" t="n"/>
    </row>
    <row r="37" ht="18" customHeight="1">
      <c r="A37" s="21" t="n">
        <v>34</v>
      </c>
      <c r="B37" s="22" t="n"/>
      <c r="C37" s="23" t="n"/>
      <c r="D37" s="23" t="n"/>
      <c r="E37" s="23" t="n"/>
      <c r="F37" s="23" t="n"/>
      <c r="G37" s="15">
        <f>IF(AND(D37&lt;&gt;"",E37&lt;&gt;""),D37-E37,"")</f>
        <v/>
      </c>
      <c r="H37" s="15">
        <f>IF(AND(C37&lt;&gt;"",F37&lt;&gt;""),C37-F37,"")</f>
        <v/>
      </c>
      <c r="I37" s="15">
        <f>IF(AND(C37&lt;&gt;"",Dashbord!$B$8&lt;&gt;""),ABS(C37-Dashbord!$B$8),"")</f>
        <v/>
      </c>
      <c r="J37" s="24" t="n"/>
      <c r="K37" s="25">
        <f>IF(G37="","",IF(AND(G37&lt;6,ABS(H37)&lt;3,I37&lt;3),"FLAT",IF(OR(G37&gt;10,ABS(H37)&gt;6),IF(H37&gt;0,"TREND UP","TREND DOWN"),"WAIT")))</f>
        <v/>
      </c>
      <c r="L37" s="26">
        <f>IF(K37="","",IF(K37="FLAT","YES",IF(K37="TREND UP","NO","WAIT")))</f>
        <v/>
      </c>
      <c r="M37" s="26">
        <f>IF(K37="","",IF(K37="TREND DOWN","NO",IF(K37="FLAT","YES","WAIT")))</f>
        <v/>
      </c>
      <c r="N37" s="27">
        <f>IF(K37="","",IF(COUNTIF(K28:K37,"FLAT")&gt;=8,"ACTIVATE","No: "&amp;COUNTIF(K28:K37,"FLAT")&amp;"/10"))</f>
        <v/>
      </c>
      <c r="O37" s="28" t="n"/>
    </row>
    <row r="38" ht="18" customHeight="1">
      <c r="A38" s="21" t="n">
        <v>35</v>
      </c>
      <c r="B38" s="22" t="n"/>
      <c r="C38" s="23" t="n"/>
      <c r="D38" s="23" t="n"/>
      <c r="E38" s="23" t="n"/>
      <c r="F38" s="23" t="n"/>
      <c r="G38" s="15">
        <f>IF(AND(D38&lt;&gt;"",E38&lt;&gt;""),D38-E38,"")</f>
        <v/>
      </c>
      <c r="H38" s="15">
        <f>IF(AND(C38&lt;&gt;"",F38&lt;&gt;""),C38-F38,"")</f>
        <v/>
      </c>
      <c r="I38" s="15">
        <f>IF(AND(C38&lt;&gt;"",Dashbord!$B$8&lt;&gt;""),ABS(C38-Dashbord!$B$8),"")</f>
        <v/>
      </c>
      <c r="J38" s="24" t="n"/>
      <c r="K38" s="25">
        <f>IF(G38="","",IF(AND(G38&lt;6,ABS(H38)&lt;3,I38&lt;3),"FLAT",IF(OR(G38&gt;10,ABS(H38)&gt;6),IF(H38&gt;0,"TREND UP","TREND DOWN"),"WAIT")))</f>
        <v/>
      </c>
      <c r="L38" s="26">
        <f>IF(K38="","",IF(K38="FLAT","YES",IF(K38="TREND UP","NO","WAIT")))</f>
        <v/>
      </c>
      <c r="M38" s="26">
        <f>IF(K38="","",IF(K38="TREND DOWN","NO",IF(K38="FLAT","YES","WAIT")))</f>
        <v/>
      </c>
      <c r="N38" s="27">
        <f>IF(K38="","",IF(COUNTIF(K29:K38,"FLAT")&gt;=8,"ACTIVATE","No: "&amp;COUNTIF(K29:K38,"FLAT")&amp;"/10"))</f>
        <v/>
      </c>
      <c r="O38" s="28" t="n"/>
    </row>
    <row r="39" ht="18" customHeight="1">
      <c r="A39" s="21" t="n">
        <v>36</v>
      </c>
      <c r="B39" s="22" t="n"/>
      <c r="C39" s="23" t="n"/>
      <c r="D39" s="23" t="n"/>
      <c r="E39" s="23" t="n"/>
      <c r="F39" s="23" t="n"/>
      <c r="G39" s="15">
        <f>IF(AND(D39&lt;&gt;"",E39&lt;&gt;""),D39-E39,"")</f>
        <v/>
      </c>
      <c r="H39" s="15">
        <f>IF(AND(C39&lt;&gt;"",F39&lt;&gt;""),C39-F39,"")</f>
        <v/>
      </c>
      <c r="I39" s="15">
        <f>IF(AND(C39&lt;&gt;"",Dashbord!$B$8&lt;&gt;""),ABS(C39-Dashbord!$B$8),"")</f>
        <v/>
      </c>
      <c r="J39" s="24" t="n"/>
      <c r="K39" s="25">
        <f>IF(G39="","",IF(AND(G39&lt;6,ABS(H39)&lt;3,I39&lt;3),"FLAT",IF(OR(G39&gt;10,ABS(H39)&gt;6),IF(H39&gt;0,"TREND UP","TREND DOWN"),"WAIT")))</f>
        <v/>
      </c>
      <c r="L39" s="26">
        <f>IF(K39="","",IF(K39="FLAT","YES",IF(K39="TREND UP","NO","WAIT")))</f>
        <v/>
      </c>
      <c r="M39" s="26">
        <f>IF(K39="","",IF(K39="TREND DOWN","NO",IF(K39="FLAT","YES","WAIT")))</f>
        <v/>
      </c>
      <c r="N39" s="27">
        <f>IF(K39="","",IF(COUNTIF(K30:K39,"FLAT")&gt;=8,"ACTIVATE","No: "&amp;COUNTIF(K30:K39,"FLAT")&amp;"/10"))</f>
        <v/>
      </c>
      <c r="O39" s="28" t="n"/>
    </row>
    <row r="40" ht="18" customHeight="1">
      <c r="A40" s="21" t="n">
        <v>37</v>
      </c>
      <c r="B40" s="22" t="n"/>
      <c r="C40" s="23" t="n"/>
      <c r="D40" s="23" t="n"/>
      <c r="E40" s="23" t="n"/>
      <c r="F40" s="23" t="n"/>
      <c r="G40" s="15">
        <f>IF(AND(D40&lt;&gt;"",E40&lt;&gt;""),D40-E40,"")</f>
        <v/>
      </c>
      <c r="H40" s="15">
        <f>IF(AND(C40&lt;&gt;"",F40&lt;&gt;""),C40-F40,"")</f>
        <v/>
      </c>
      <c r="I40" s="15">
        <f>IF(AND(C40&lt;&gt;"",Dashbord!$B$8&lt;&gt;""),ABS(C40-Dashbord!$B$8),"")</f>
        <v/>
      </c>
      <c r="J40" s="24" t="n"/>
      <c r="K40" s="25">
        <f>IF(G40="","",IF(AND(G40&lt;6,ABS(H40)&lt;3,I40&lt;3),"FLAT",IF(OR(G40&gt;10,ABS(H40)&gt;6),IF(H40&gt;0,"TREND UP","TREND DOWN"),"WAIT")))</f>
        <v/>
      </c>
      <c r="L40" s="26">
        <f>IF(K40="","",IF(K40="FLAT","YES",IF(K40="TREND UP","NO","WAIT")))</f>
        <v/>
      </c>
      <c r="M40" s="26">
        <f>IF(K40="","",IF(K40="TREND DOWN","NO",IF(K40="FLAT","YES","WAIT")))</f>
        <v/>
      </c>
      <c r="N40" s="27">
        <f>IF(K40="","",IF(COUNTIF(K31:K40,"FLAT")&gt;=8,"ACTIVATE","No: "&amp;COUNTIF(K31:K40,"FLAT")&amp;"/10"))</f>
        <v/>
      </c>
      <c r="O40" s="28" t="n"/>
    </row>
    <row r="41" ht="18" customHeight="1">
      <c r="A41" s="21" t="n">
        <v>38</v>
      </c>
      <c r="B41" s="22" t="n"/>
      <c r="C41" s="23" t="n"/>
      <c r="D41" s="23" t="n"/>
      <c r="E41" s="23" t="n"/>
      <c r="F41" s="23" t="n"/>
      <c r="G41" s="15">
        <f>IF(AND(D41&lt;&gt;"",E41&lt;&gt;""),D41-E41,"")</f>
        <v/>
      </c>
      <c r="H41" s="15">
        <f>IF(AND(C41&lt;&gt;"",F41&lt;&gt;""),C41-F41,"")</f>
        <v/>
      </c>
      <c r="I41" s="15">
        <f>IF(AND(C41&lt;&gt;"",Dashbord!$B$8&lt;&gt;""),ABS(C41-Dashbord!$B$8),"")</f>
        <v/>
      </c>
      <c r="J41" s="24" t="n"/>
      <c r="K41" s="25">
        <f>IF(G41="","",IF(AND(G41&lt;6,ABS(H41)&lt;3,I41&lt;3),"FLAT",IF(OR(G41&gt;10,ABS(H41)&gt;6),IF(H41&gt;0,"TREND UP","TREND DOWN"),"WAIT")))</f>
        <v/>
      </c>
      <c r="L41" s="26">
        <f>IF(K41="","",IF(K41="FLAT","YES",IF(K41="TREND UP","NO","WAIT")))</f>
        <v/>
      </c>
      <c r="M41" s="26">
        <f>IF(K41="","",IF(K41="TREND DOWN","NO",IF(K41="FLAT","YES","WAIT")))</f>
        <v/>
      </c>
      <c r="N41" s="27">
        <f>IF(K41="","",IF(COUNTIF(K32:K41,"FLAT")&gt;=8,"ACTIVATE","No: "&amp;COUNTIF(K32:K41,"FLAT")&amp;"/10"))</f>
        <v/>
      </c>
      <c r="O41" s="28" t="n"/>
    </row>
    <row r="42" ht="18" customHeight="1">
      <c r="A42" s="21" t="n">
        <v>39</v>
      </c>
      <c r="B42" s="22" t="n"/>
      <c r="C42" s="23" t="n"/>
      <c r="D42" s="23" t="n"/>
      <c r="E42" s="23" t="n"/>
      <c r="F42" s="23" t="n"/>
      <c r="G42" s="15">
        <f>IF(AND(D42&lt;&gt;"",E42&lt;&gt;""),D42-E42,"")</f>
        <v/>
      </c>
      <c r="H42" s="15">
        <f>IF(AND(C42&lt;&gt;"",F42&lt;&gt;""),C42-F42,"")</f>
        <v/>
      </c>
      <c r="I42" s="15">
        <f>IF(AND(C42&lt;&gt;"",Dashbord!$B$8&lt;&gt;""),ABS(C42-Dashbord!$B$8),"")</f>
        <v/>
      </c>
      <c r="J42" s="24" t="n"/>
      <c r="K42" s="25">
        <f>IF(G42="","",IF(AND(G42&lt;6,ABS(H42)&lt;3,I42&lt;3),"FLAT",IF(OR(G42&gt;10,ABS(H42)&gt;6),IF(H42&gt;0,"TREND UP","TREND DOWN"),"WAIT")))</f>
        <v/>
      </c>
      <c r="L42" s="26">
        <f>IF(K42="","",IF(K42="FLAT","YES",IF(K42="TREND UP","NO","WAIT")))</f>
        <v/>
      </c>
      <c r="M42" s="26">
        <f>IF(K42="","",IF(K42="TREND DOWN","NO",IF(K42="FLAT","YES","WAIT")))</f>
        <v/>
      </c>
      <c r="N42" s="27">
        <f>IF(K42="","",IF(COUNTIF(K33:K42,"FLAT")&gt;=8,"ACTIVATE","No: "&amp;COUNTIF(K33:K42,"FLAT")&amp;"/10"))</f>
        <v/>
      </c>
      <c r="O42" s="28" t="n"/>
    </row>
    <row r="43" ht="18" customHeight="1">
      <c r="A43" s="21" t="n">
        <v>40</v>
      </c>
      <c r="B43" s="22" t="n"/>
      <c r="C43" s="23" t="n"/>
      <c r="D43" s="23" t="n"/>
      <c r="E43" s="23" t="n"/>
      <c r="F43" s="23" t="n"/>
      <c r="G43" s="15">
        <f>IF(AND(D43&lt;&gt;"",E43&lt;&gt;""),D43-E43,"")</f>
        <v/>
      </c>
      <c r="H43" s="15">
        <f>IF(AND(C43&lt;&gt;"",F43&lt;&gt;""),C43-F43,"")</f>
        <v/>
      </c>
      <c r="I43" s="15">
        <f>IF(AND(C43&lt;&gt;"",Dashbord!$B$8&lt;&gt;""),ABS(C43-Dashbord!$B$8),"")</f>
        <v/>
      </c>
      <c r="J43" s="24" t="n"/>
      <c r="K43" s="25">
        <f>IF(G43="","",IF(AND(G43&lt;6,ABS(H43)&lt;3,I43&lt;3),"FLAT",IF(OR(G43&gt;10,ABS(H43)&gt;6),IF(H43&gt;0,"TREND UP","TREND DOWN"),"WAIT")))</f>
        <v/>
      </c>
      <c r="L43" s="26">
        <f>IF(K43="","",IF(K43="FLAT","YES",IF(K43="TREND UP","NO","WAIT")))</f>
        <v/>
      </c>
      <c r="M43" s="26">
        <f>IF(K43="","",IF(K43="TREND DOWN","NO",IF(K43="FLAT","YES","WAIT")))</f>
        <v/>
      </c>
      <c r="N43" s="27">
        <f>IF(K43="","",IF(COUNTIF(K34:K43,"FLAT")&gt;=8,"ACTIVATE","No: "&amp;COUNTIF(K34:K43,"FLAT")&amp;"/10"))</f>
        <v/>
      </c>
      <c r="O43" s="28" t="n"/>
    </row>
    <row r="44" ht="18" customHeight="1">
      <c r="A44" s="21" t="n">
        <v>41</v>
      </c>
      <c r="B44" s="22" t="n"/>
      <c r="C44" s="23" t="n"/>
      <c r="D44" s="23" t="n"/>
      <c r="E44" s="23" t="n"/>
      <c r="F44" s="23" t="n"/>
      <c r="G44" s="15">
        <f>IF(AND(D44&lt;&gt;"",E44&lt;&gt;""),D44-E44,"")</f>
        <v/>
      </c>
      <c r="H44" s="15">
        <f>IF(AND(C44&lt;&gt;"",F44&lt;&gt;""),C44-F44,"")</f>
        <v/>
      </c>
      <c r="I44" s="15">
        <f>IF(AND(C44&lt;&gt;"",Dashbord!$B$8&lt;&gt;""),ABS(C44-Dashbord!$B$8),"")</f>
        <v/>
      </c>
      <c r="J44" s="24" t="n"/>
      <c r="K44" s="25">
        <f>IF(G44="","",IF(AND(G44&lt;6,ABS(H44)&lt;3,I44&lt;3),"FLAT",IF(OR(G44&gt;10,ABS(H44)&gt;6),IF(H44&gt;0,"TREND UP","TREND DOWN"),"WAIT")))</f>
        <v/>
      </c>
      <c r="L44" s="26">
        <f>IF(K44="","",IF(K44="FLAT","YES",IF(K44="TREND UP","NO","WAIT")))</f>
        <v/>
      </c>
      <c r="M44" s="26">
        <f>IF(K44="","",IF(K44="TREND DOWN","NO",IF(K44="FLAT","YES","WAIT")))</f>
        <v/>
      </c>
      <c r="N44" s="27">
        <f>IF(K44="","",IF(COUNTIF(K35:K44,"FLAT")&gt;=8,"ACTIVATE","No: "&amp;COUNTIF(K35:K44,"FLAT")&amp;"/10"))</f>
        <v/>
      </c>
      <c r="O44" s="28" t="n"/>
    </row>
    <row r="45" ht="18" customHeight="1">
      <c r="A45" s="21" t="n">
        <v>42</v>
      </c>
      <c r="B45" s="22" t="n"/>
      <c r="C45" s="23" t="n"/>
      <c r="D45" s="23" t="n"/>
      <c r="E45" s="23" t="n"/>
      <c r="F45" s="23" t="n"/>
      <c r="G45" s="15">
        <f>IF(AND(D45&lt;&gt;"",E45&lt;&gt;""),D45-E45,"")</f>
        <v/>
      </c>
      <c r="H45" s="15">
        <f>IF(AND(C45&lt;&gt;"",F45&lt;&gt;""),C45-F45,"")</f>
        <v/>
      </c>
      <c r="I45" s="15">
        <f>IF(AND(C45&lt;&gt;"",Dashbord!$B$8&lt;&gt;""),ABS(C45-Dashbord!$B$8),"")</f>
        <v/>
      </c>
      <c r="J45" s="24" t="n"/>
      <c r="K45" s="25">
        <f>IF(G45="","",IF(AND(G45&lt;6,ABS(H45)&lt;3,I45&lt;3),"FLAT",IF(OR(G45&gt;10,ABS(H45)&gt;6),IF(H45&gt;0,"TREND UP","TREND DOWN"),"WAIT")))</f>
        <v/>
      </c>
      <c r="L45" s="26">
        <f>IF(K45="","",IF(K45="FLAT","YES",IF(K45="TREND UP","NO","WAIT")))</f>
        <v/>
      </c>
      <c r="M45" s="26">
        <f>IF(K45="","",IF(K45="TREND DOWN","NO",IF(K45="FLAT","YES","WAIT")))</f>
        <v/>
      </c>
      <c r="N45" s="27">
        <f>IF(K45="","",IF(COUNTIF(K36:K45,"FLAT")&gt;=8,"ACTIVATE","No: "&amp;COUNTIF(K36:K45,"FLAT")&amp;"/10"))</f>
        <v/>
      </c>
      <c r="O45" s="28" t="n"/>
    </row>
    <row r="46" ht="18" customHeight="1">
      <c r="A46" s="21" t="n">
        <v>43</v>
      </c>
      <c r="B46" s="22" t="n"/>
      <c r="C46" s="23" t="n"/>
      <c r="D46" s="23" t="n"/>
      <c r="E46" s="23" t="n"/>
      <c r="F46" s="23" t="n"/>
      <c r="G46" s="15">
        <f>IF(AND(D46&lt;&gt;"",E46&lt;&gt;""),D46-E46,"")</f>
        <v/>
      </c>
      <c r="H46" s="15">
        <f>IF(AND(C46&lt;&gt;"",F46&lt;&gt;""),C46-F46,"")</f>
        <v/>
      </c>
      <c r="I46" s="15">
        <f>IF(AND(C46&lt;&gt;"",Dashbord!$B$8&lt;&gt;""),ABS(C46-Dashbord!$B$8),"")</f>
        <v/>
      </c>
      <c r="J46" s="24" t="n"/>
      <c r="K46" s="25">
        <f>IF(G46="","",IF(AND(G46&lt;6,ABS(H46)&lt;3,I46&lt;3),"FLAT",IF(OR(G46&gt;10,ABS(H46)&gt;6),IF(H46&gt;0,"TREND UP","TREND DOWN"),"WAIT")))</f>
        <v/>
      </c>
      <c r="L46" s="26">
        <f>IF(K46="","",IF(K46="FLAT","YES",IF(K46="TREND UP","NO","WAIT")))</f>
        <v/>
      </c>
      <c r="M46" s="26">
        <f>IF(K46="","",IF(K46="TREND DOWN","NO",IF(K46="FLAT","YES","WAIT")))</f>
        <v/>
      </c>
      <c r="N46" s="27">
        <f>IF(K46="","",IF(COUNTIF(K37:K46,"FLAT")&gt;=8,"ACTIVATE","No: "&amp;COUNTIF(K37:K46,"FLAT")&amp;"/10"))</f>
        <v/>
      </c>
      <c r="O46" s="28" t="n"/>
    </row>
    <row r="47" ht="18" customHeight="1">
      <c r="A47" s="21" t="n">
        <v>44</v>
      </c>
      <c r="B47" s="22" t="n"/>
      <c r="C47" s="23" t="n"/>
      <c r="D47" s="23" t="n"/>
      <c r="E47" s="23" t="n"/>
      <c r="F47" s="23" t="n"/>
      <c r="G47" s="15">
        <f>IF(AND(D47&lt;&gt;"",E47&lt;&gt;""),D47-E47,"")</f>
        <v/>
      </c>
      <c r="H47" s="15">
        <f>IF(AND(C47&lt;&gt;"",F47&lt;&gt;""),C47-F47,"")</f>
        <v/>
      </c>
      <c r="I47" s="15">
        <f>IF(AND(C47&lt;&gt;"",Dashbord!$B$8&lt;&gt;""),ABS(C47-Dashbord!$B$8),"")</f>
        <v/>
      </c>
      <c r="J47" s="24" t="n"/>
      <c r="K47" s="25">
        <f>IF(G47="","",IF(AND(G47&lt;6,ABS(H47)&lt;3,I47&lt;3),"FLAT",IF(OR(G47&gt;10,ABS(H47)&gt;6),IF(H47&gt;0,"TREND UP","TREND DOWN"),"WAIT")))</f>
        <v/>
      </c>
      <c r="L47" s="26">
        <f>IF(K47="","",IF(K47="FLAT","YES",IF(K47="TREND UP","NO","WAIT")))</f>
        <v/>
      </c>
      <c r="M47" s="26">
        <f>IF(K47="","",IF(K47="TREND DOWN","NO",IF(K47="FLAT","YES","WAIT")))</f>
        <v/>
      </c>
      <c r="N47" s="27">
        <f>IF(K47="","",IF(COUNTIF(K38:K47,"FLAT")&gt;=8,"ACTIVATE","No: "&amp;COUNTIF(K38:K47,"FLAT")&amp;"/10"))</f>
        <v/>
      </c>
      <c r="O47" s="28" t="n"/>
    </row>
    <row r="48" ht="18" customHeight="1">
      <c r="A48" s="21" t="n">
        <v>45</v>
      </c>
      <c r="B48" s="22" t="n"/>
      <c r="C48" s="23" t="n"/>
      <c r="D48" s="23" t="n"/>
      <c r="E48" s="23" t="n"/>
      <c r="F48" s="23" t="n"/>
      <c r="G48" s="15">
        <f>IF(AND(D48&lt;&gt;"",E48&lt;&gt;""),D48-E48,"")</f>
        <v/>
      </c>
      <c r="H48" s="15">
        <f>IF(AND(C48&lt;&gt;"",F48&lt;&gt;""),C48-F48,"")</f>
        <v/>
      </c>
      <c r="I48" s="15">
        <f>IF(AND(C48&lt;&gt;"",Dashbord!$B$8&lt;&gt;""),ABS(C48-Dashbord!$B$8),"")</f>
        <v/>
      </c>
      <c r="J48" s="24" t="n"/>
      <c r="K48" s="25">
        <f>IF(G48="","",IF(AND(G48&lt;6,ABS(H48)&lt;3,I48&lt;3),"FLAT",IF(OR(G48&gt;10,ABS(H48)&gt;6),IF(H48&gt;0,"TREND UP","TREND DOWN"),"WAIT")))</f>
        <v/>
      </c>
      <c r="L48" s="26">
        <f>IF(K48="","",IF(K48="FLAT","YES",IF(K48="TREND UP","NO","WAIT")))</f>
        <v/>
      </c>
      <c r="M48" s="26">
        <f>IF(K48="","",IF(K48="TREND DOWN","NO",IF(K48="FLAT","YES","WAIT")))</f>
        <v/>
      </c>
      <c r="N48" s="27">
        <f>IF(K48="","",IF(COUNTIF(K39:K48,"FLAT")&gt;=8,"ACTIVATE","No: "&amp;COUNTIF(K39:K48,"FLAT")&amp;"/10"))</f>
        <v/>
      </c>
      <c r="O48" s="28" t="n"/>
    </row>
    <row r="49" ht="18" customHeight="1">
      <c r="A49" s="21" t="n">
        <v>46</v>
      </c>
      <c r="B49" s="22" t="n"/>
      <c r="C49" s="23" t="n"/>
      <c r="D49" s="23" t="n"/>
      <c r="E49" s="23" t="n"/>
      <c r="F49" s="23" t="n"/>
      <c r="G49" s="15">
        <f>IF(AND(D49&lt;&gt;"",E49&lt;&gt;""),D49-E49,"")</f>
        <v/>
      </c>
      <c r="H49" s="15">
        <f>IF(AND(C49&lt;&gt;"",F49&lt;&gt;""),C49-F49,"")</f>
        <v/>
      </c>
      <c r="I49" s="15">
        <f>IF(AND(C49&lt;&gt;"",Dashbord!$B$8&lt;&gt;""),ABS(C49-Dashbord!$B$8),"")</f>
        <v/>
      </c>
      <c r="J49" s="24" t="n"/>
      <c r="K49" s="25">
        <f>IF(G49="","",IF(AND(G49&lt;6,ABS(H49)&lt;3,I49&lt;3),"FLAT",IF(OR(G49&gt;10,ABS(H49)&gt;6),IF(H49&gt;0,"TREND UP","TREND DOWN"),"WAIT")))</f>
        <v/>
      </c>
      <c r="L49" s="26">
        <f>IF(K49="","",IF(K49="FLAT","YES",IF(K49="TREND UP","NO","WAIT")))</f>
        <v/>
      </c>
      <c r="M49" s="26">
        <f>IF(K49="","",IF(K49="TREND DOWN","NO",IF(K49="FLAT","YES","WAIT")))</f>
        <v/>
      </c>
      <c r="N49" s="27">
        <f>IF(K49="","",IF(COUNTIF(K40:K49,"FLAT")&gt;=8,"ACTIVATE","No: "&amp;COUNTIF(K40:K49,"FLAT")&amp;"/10"))</f>
        <v/>
      </c>
      <c r="O49" s="28" t="n"/>
    </row>
    <row r="50" ht="18" customHeight="1">
      <c r="A50" s="21" t="n">
        <v>47</v>
      </c>
      <c r="B50" s="22" t="n"/>
      <c r="C50" s="23" t="n"/>
      <c r="D50" s="23" t="n"/>
      <c r="E50" s="23" t="n"/>
      <c r="F50" s="23" t="n"/>
      <c r="G50" s="15">
        <f>IF(AND(D50&lt;&gt;"",E50&lt;&gt;""),D50-E50,"")</f>
        <v/>
      </c>
      <c r="H50" s="15">
        <f>IF(AND(C50&lt;&gt;"",F50&lt;&gt;""),C50-F50,"")</f>
        <v/>
      </c>
      <c r="I50" s="15">
        <f>IF(AND(C50&lt;&gt;"",Dashbord!$B$8&lt;&gt;""),ABS(C50-Dashbord!$B$8),"")</f>
        <v/>
      </c>
      <c r="J50" s="24" t="n"/>
      <c r="K50" s="25">
        <f>IF(G50="","",IF(AND(G50&lt;6,ABS(H50)&lt;3,I50&lt;3),"FLAT",IF(OR(G50&gt;10,ABS(H50)&gt;6),IF(H50&gt;0,"TREND UP","TREND DOWN"),"WAIT")))</f>
        <v/>
      </c>
      <c r="L50" s="26">
        <f>IF(K50="","",IF(K50="FLAT","YES",IF(K50="TREND UP","NO","WAIT")))</f>
        <v/>
      </c>
      <c r="M50" s="26">
        <f>IF(K50="","",IF(K50="TREND DOWN","NO",IF(K50="FLAT","YES","WAIT")))</f>
        <v/>
      </c>
      <c r="N50" s="27">
        <f>IF(K50="","",IF(COUNTIF(K41:K50,"FLAT")&gt;=8,"ACTIVATE","No: "&amp;COUNTIF(K41:K50,"FLAT")&amp;"/10"))</f>
        <v/>
      </c>
      <c r="O50" s="28" t="n"/>
    </row>
    <row r="51" ht="18" customHeight="1">
      <c r="A51" s="21" t="n">
        <v>48</v>
      </c>
      <c r="B51" s="22" t="n"/>
      <c r="C51" s="23" t="n"/>
      <c r="D51" s="23" t="n"/>
      <c r="E51" s="23" t="n"/>
      <c r="F51" s="23" t="n"/>
      <c r="G51" s="15">
        <f>IF(AND(D51&lt;&gt;"",E51&lt;&gt;""),D51-E51,"")</f>
        <v/>
      </c>
      <c r="H51" s="15">
        <f>IF(AND(C51&lt;&gt;"",F51&lt;&gt;""),C51-F51,"")</f>
        <v/>
      </c>
      <c r="I51" s="15">
        <f>IF(AND(C51&lt;&gt;"",Dashbord!$B$8&lt;&gt;""),ABS(C51-Dashbord!$B$8),"")</f>
        <v/>
      </c>
      <c r="J51" s="24" t="n"/>
      <c r="K51" s="25">
        <f>IF(G51="","",IF(AND(G51&lt;6,ABS(H51)&lt;3,I51&lt;3),"FLAT",IF(OR(G51&gt;10,ABS(H51)&gt;6),IF(H51&gt;0,"TREND UP","TREND DOWN"),"WAIT")))</f>
        <v/>
      </c>
      <c r="L51" s="26">
        <f>IF(K51="","",IF(K51="FLAT","YES",IF(K51="TREND UP","NO","WAIT")))</f>
        <v/>
      </c>
      <c r="M51" s="26">
        <f>IF(K51="","",IF(K51="TREND DOWN","NO",IF(K51="FLAT","YES","WAIT")))</f>
        <v/>
      </c>
      <c r="N51" s="27">
        <f>IF(K51="","",IF(COUNTIF(K42:K51,"FLAT")&gt;=8,"ACTIVATE","No: "&amp;COUNTIF(K42:K51,"FLAT")&amp;"/10"))</f>
        <v/>
      </c>
      <c r="O51" s="28" t="n"/>
    </row>
    <row r="52" ht="18" customHeight="1">
      <c r="A52" s="21" t="n">
        <v>49</v>
      </c>
      <c r="B52" s="22" t="n"/>
      <c r="C52" s="23" t="n"/>
      <c r="D52" s="23" t="n"/>
      <c r="E52" s="23" t="n"/>
      <c r="F52" s="23" t="n"/>
      <c r="G52" s="15">
        <f>IF(AND(D52&lt;&gt;"",E52&lt;&gt;""),D52-E52,"")</f>
        <v/>
      </c>
      <c r="H52" s="15">
        <f>IF(AND(C52&lt;&gt;"",F52&lt;&gt;""),C52-F52,"")</f>
        <v/>
      </c>
      <c r="I52" s="15">
        <f>IF(AND(C52&lt;&gt;"",Dashbord!$B$8&lt;&gt;""),ABS(C52-Dashbord!$B$8),"")</f>
        <v/>
      </c>
      <c r="J52" s="24" t="n"/>
      <c r="K52" s="25">
        <f>IF(G52="","",IF(AND(G52&lt;6,ABS(H52)&lt;3,I52&lt;3),"FLAT",IF(OR(G52&gt;10,ABS(H52)&gt;6),IF(H52&gt;0,"TREND UP","TREND DOWN"),"WAIT")))</f>
        <v/>
      </c>
      <c r="L52" s="26">
        <f>IF(K52="","",IF(K52="FLAT","YES",IF(K52="TREND UP","NO","WAIT")))</f>
        <v/>
      </c>
      <c r="M52" s="26">
        <f>IF(K52="","",IF(K52="TREND DOWN","NO",IF(K52="FLAT","YES","WAIT")))</f>
        <v/>
      </c>
      <c r="N52" s="27">
        <f>IF(K52="","",IF(COUNTIF(K43:K52,"FLAT")&gt;=8,"ACTIVATE","No: "&amp;COUNTIF(K43:K52,"FLAT")&amp;"/10"))</f>
        <v/>
      </c>
      <c r="O52" s="28" t="n"/>
    </row>
    <row r="53" ht="18" customHeight="1">
      <c r="A53" s="21" t="n">
        <v>50</v>
      </c>
      <c r="B53" s="22" t="n"/>
      <c r="C53" s="23" t="n"/>
      <c r="D53" s="23" t="n"/>
      <c r="E53" s="23" t="n"/>
      <c r="F53" s="23" t="n"/>
      <c r="G53" s="15">
        <f>IF(AND(D53&lt;&gt;"",E53&lt;&gt;""),D53-E53,"")</f>
        <v/>
      </c>
      <c r="H53" s="15">
        <f>IF(AND(C53&lt;&gt;"",F53&lt;&gt;""),C53-F53,"")</f>
        <v/>
      </c>
      <c r="I53" s="15">
        <f>IF(AND(C53&lt;&gt;"",Dashbord!$B$8&lt;&gt;""),ABS(C53-Dashbord!$B$8),"")</f>
        <v/>
      </c>
      <c r="J53" s="24" t="n"/>
      <c r="K53" s="25">
        <f>IF(G53="","",IF(AND(G53&lt;6,ABS(H53)&lt;3,I53&lt;3),"FLAT",IF(OR(G53&gt;10,ABS(H53)&gt;6),IF(H53&gt;0,"TREND UP","TREND DOWN"),"WAIT")))</f>
        <v/>
      </c>
      <c r="L53" s="26">
        <f>IF(K53="","",IF(K53="FLAT","YES",IF(K53="TREND UP","NO","WAIT")))</f>
        <v/>
      </c>
      <c r="M53" s="26">
        <f>IF(K53="","",IF(K53="TREND DOWN","NO",IF(K53="FLAT","YES","WAIT")))</f>
        <v/>
      </c>
      <c r="N53" s="27">
        <f>IF(K53="","",IF(COUNTIF(K44:K53,"FLAT")&gt;=8,"ACTIVATE","No: "&amp;COUNTIF(K44:K53,"FLAT")&amp;"/10"))</f>
        <v/>
      </c>
      <c r="O53" s="28" t="n"/>
    </row>
    <row r="54" ht="18" customHeight="1">
      <c r="A54" s="21" t="n">
        <v>51</v>
      </c>
      <c r="B54" s="22" t="n"/>
      <c r="C54" s="23" t="n"/>
      <c r="D54" s="23" t="n"/>
      <c r="E54" s="23" t="n"/>
      <c r="F54" s="23" t="n"/>
      <c r="G54" s="15">
        <f>IF(AND(D54&lt;&gt;"",E54&lt;&gt;""),D54-E54,"")</f>
        <v/>
      </c>
      <c r="H54" s="15">
        <f>IF(AND(C54&lt;&gt;"",F54&lt;&gt;""),C54-F54,"")</f>
        <v/>
      </c>
      <c r="I54" s="15">
        <f>IF(AND(C54&lt;&gt;"",Dashbord!$B$8&lt;&gt;""),ABS(C54-Dashbord!$B$8),"")</f>
        <v/>
      </c>
      <c r="J54" s="24" t="n"/>
      <c r="K54" s="25">
        <f>IF(G54="","",IF(AND(G54&lt;6,ABS(H54)&lt;3,I54&lt;3),"FLAT",IF(OR(G54&gt;10,ABS(H54)&gt;6),IF(H54&gt;0,"TREND UP","TREND DOWN"),"WAIT")))</f>
        <v/>
      </c>
      <c r="L54" s="26">
        <f>IF(K54="","",IF(K54="FLAT","YES",IF(K54="TREND UP","NO","WAIT")))</f>
        <v/>
      </c>
      <c r="M54" s="26">
        <f>IF(K54="","",IF(K54="TREND DOWN","NO",IF(K54="FLAT","YES","WAIT")))</f>
        <v/>
      </c>
      <c r="N54" s="27">
        <f>IF(K54="","",IF(COUNTIF(K45:K54,"FLAT")&gt;=8,"ACTIVATE","No: "&amp;COUNTIF(K45:K54,"FLAT")&amp;"/10"))</f>
        <v/>
      </c>
      <c r="O54" s="28" t="n"/>
    </row>
    <row r="55" ht="18" customHeight="1">
      <c r="A55" s="21" t="n">
        <v>52</v>
      </c>
      <c r="B55" s="22" t="n"/>
      <c r="C55" s="23" t="n"/>
      <c r="D55" s="23" t="n"/>
      <c r="E55" s="23" t="n"/>
      <c r="F55" s="23" t="n"/>
      <c r="G55" s="15">
        <f>IF(AND(D55&lt;&gt;"",E55&lt;&gt;""),D55-E55,"")</f>
        <v/>
      </c>
      <c r="H55" s="15">
        <f>IF(AND(C55&lt;&gt;"",F55&lt;&gt;""),C55-F55,"")</f>
        <v/>
      </c>
      <c r="I55" s="15">
        <f>IF(AND(C55&lt;&gt;"",Dashbord!$B$8&lt;&gt;""),ABS(C55-Dashbord!$B$8),"")</f>
        <v/>
      </c>
      <c r="J55" s="24" t="n"/>
      <c r="K55" s="25">
        <f>IF(G55="","",IF(AND(G55&lt;6,ABS(H55)&lt;3,I55&lt;3),"FLAT",IF(OR(G55&gt;10,ABS(H55)&gt;6),IF(H55&gt;0,"TREND UP","TREND DOWN"),"WAIT")))</f>
        <v/>
      </c>
      <c r="L55" s="26">
        <f>IF(K55="","",IF(K55="FLAT","YES",IF(K55="TREND UP","NO","WAIT")))</f>
        <v/>
      </c>
      <c r="M55" s="26">
        <f>IF(K55="","",IF(K55="TREND DOWN","NO",IF(K55="FLAT","YES","WAIT")))</f>
        <v/>
      </c>
      <c r="N55" s="27">
        <f>IF(K55="","",IF(COUNTIF(K46:K55,"FLAT")&gt;=8,"ACTIVATE","No: "&amp;COUNTIF(K46:K55,"FLAT")&amp;"/10"))</f>
        <v/>
      </c>
      <c r="O55" s="28" t="n"/>
    </row>
    <row r="56" ht="18" customHeight="1">
      <c r="A56" s="21" t="n">
        <v>53</v>
      </c>
      <c r="B56" s="22" t="n"/>
      <c r="C56" s="23" t="n"/>
      <c r="D56" s="23" t="n"/>
      <c r="E56" s="23" t="n"/>
      <c r="F56" s="23" t="n"/>
      <c r="G56" s="15">
        <f>IF(AND(D56&lt;&gt;"",E56&lt;&gt;""),D56-E56,"")</f>
        <v/>
      </c>
      <c r="H56" s="15">
        <f>IF(AND(C56&lt;&gt;"",F56&lt;&gt;""),C56-F56,"")</f>
        <v/>
      </c>
      <c r="I56" s="15">
        <f>IF(AND(C56&lt;&gt;"",Dashbord!$B$8&lt;&gt;""),ABS(C56-Dashbord!$B$8),"")</f>
        <v/>
      </c>
      <c r="J56" s="24" t="n"/>
      <c r="K56" s="25">
        <f>IF(G56="","",IF(AND(G56&lt;6,ABS(H56)&lt;3,I56&lt;3),"FLAT",IF(OR(G56&gt;10,ABS(H56)&gt;6),IF(H56&gt;0,"TREND UP","TREND DOWN"),"WAIT")))</f>
        <v/>
      </c>
      <c r="L56" s="26">
        <f>IF(K56="","",IF(K56="FLAT","YES",IF(K56="TREND UP","NO","WAIT")))</f>
        <v/>
      </c>
      <c r="M56" s="26">
        <f>IF(K56="","",IF(K56="TREND DOWN","NO",IF(K56="FLAT","YES","WAIT")))</f>
        <v/>
      </c>
      <c r="N56" s="27">
        <f>IF(K56="","",IF(COUNTIF(K47:K56,"FLAT")&gt;=8,"ACTIVATE","No: "&amp;COUNTIF(K47:K56,"FLAT")&amp;"/10"))</f>
        <v/>
      </c>
      <c r="O56" s="28" t="n"/>
    </row>
    <row r="57" ht="18" customHeight="1">
      <c r="A57" s="21" t="n">
        <v>54</v>
      </c>
      <c r="B57" s="22" t="n"/>
      <c r="C57" s="23" t="n"/>
      <c r="D57" s="23" t="n"/>
      <c r="E57" s="23" t="n"/>
      <c r="F57" s="23" t="n"/>
      <c r="G57" s="15">
        <f>IF(AND(D57&lt;&gt;"",E57&lt;&gt;""),D57-E57,"")</f>
        <v/>
      </c>
      <c r="H57" s="15">
        <f>IF(AND(C57&lt;&gt;"",F57&lt;&gt;""),C57-F57,"")</f>
        <v/>
      </c>
      <c r="I57" s="15">
        <f>IF(AND(C57&lt;&gt;"",Dashbord!$B$8&lt;&gt;""),ABS(C57-Dashbord!$B$8),"")</f>
        <v/>
      </c>
      <c r="J57" s="24" t="n"/>
      <c r="K57" s="25">
        <f>IF(G57="","",IF(AND(G57&lt;6,ABS(H57)&lt;3,I57&lt;3),"FLAT",IF(OR(G57&gt;10,ABS(H57)&gt;6),IF(H57&gt;0,"TREND UP","TREND DOWN"),"WAIT")))</f>
        <v/>
      </c>
      <c r="L57" s="26">
        <f>IF(K57="","",IF(K57="FLAT","YES",IF(K57="TREND UP","NO","WAIT")))</f>
        <v/>
      </c>
      <c r="M57" s="26">
        <f>IF(K57="","",IF(K57="TREND DOWN","NO",IF(K57="FLAT","YES","WAIT")))</f>
        <v/>
      </c>
      <c r="N57" s="27">
        <f>IF(K57="","",IF(COUNTIF(K48:K57,"FLAT")&gt;=8,"ACTIVATE","No: "&amp;COUNTIF(K48:K57,"FLAT")&amp;"/10"))</f>
        <v/>
      </c>
      <c r="O57" s="28" t="n"/>
    </row>
    <row r="58" ht="18" customHeight="1">
      <c r="A58" s="21" t="n">
        <v>55</v>
      </c>
      <c r="B58" s="22" t="n"/>
      <c r="C58" s="23" t="n"/>
      <c r="D58" s="23" t="n"/>
      <c r="E58" s="23" t="n"/>
      <c r="F58" s="23" t="n"/>
      <c r="G58" s="15">
        <f>IF(AND(D58&lt;&gt;"",E58&lt;&gt;""),D58-E58,"")</f>
        <v/>
      </c>
      <c r="H58" s="15">
        <f>IF(AND(C58&lt;&gt;"",F58&lt;&gt;""),C58-F58,"")</f>
        <v/>
      </c>
      <c r="I58" s="15">
        <f>IF(AND(C58&lt;&gt;"",Dashbord!$B$8&lt;&gt;""),ABS(C58-Dashbord!$B$8),"")</f>
        <v/>
      </c>
      <c r="J58" s="24" t="n"/>
      <c r="K58" s="25">
        <f>IF(G58="","",IF(AND(G58&lt;6,ABS(H58)&lt;3,I58&lt;3),"FLAT",IF(OR(G58&gt;10,ABS(H58)&gt;6),IF(H58&gt;0,"TREND UP","TREND DOWN"),"WAIT")))</f>
        <v/>
      </c>
      <c r="L58" s="26">
        <f>IF(K58="","",IF(K58="FLAT","YES",IF(K58="TREND UP","NO","WAIT")))</f>
        <v/>
      </c>
      <c r="M58" s="26">
        <f>IF(K58="","",IF(K58="TREND DOWN","NO",IF(K58="FLAT","YES","WAIT")))</f>
        <v/>
      </c>
      <c r="N58" s="27">
        <f>IF(K58="","",IF(COUNTIF(K49:K58,"FLAT")&gt;=8,"ACTIVATE","No: "&amp;COUNTIF(K49:K58,"FLAT")&amp;"/10"))</f>
        <v/>
      </c>
      <c r="O58" s="28" t="n"/>
    </row>
    <row r="59" ht="18" customHeight="1">
      <c r="A59" s="21" t="n">
        <v>56</v>
      </c>
      <c r="B59" s="22" t="n"/>
      <c r="C59" s="23" t="n"/>
      <c r="D59" s="23" t="n"/>
      <c r="E59" s="23" t="n"/>
      <c r="F59" s="23" t="n"/>
      <c r="G59" s="15">
        <f>IF(AND(D59&lt;&gt;"",E59&lt;&gt;""),D59-E59,"")</f>
        <v/>
      </c>
      <c r="H59" s="15">
        <f>IF(AND(C59&lt;&gt;"",F59&lt;&gt;""),C59-F59,"")</f>
        <v/>
      </c>
      <c r="I59" s="15">
        <f>IF(AND(C59&lt;&gt;"",Dashbord!$B$8&lt;&gt;""),ABS(C59-Dashbord!$B$8),"")</f>
        <v/>
      </c>
      <c r="J59" s="24" t="n"/>
      <c r="K59" s="25">
        <f>IF(G59="","",IF(AND(G59&lt;6,ABS(H59)&lt;3,I59&lt;3),"FLAT",IF(OR(G59&gt;10,ABS(H59)&gt;6),IF(H59&gt;0,"TREND UP","TREND DOWN"),"WAIT")))</f>
        <v/>
      </c>
      <c r="L59" s="26">
        <f>IF(K59="","",IF(K59="FLAT","YES",IF(K59="TREND UP","NO","WAIT")))</f>
        <v/>
      </c>
      <c r="M59" s="26">
        <f>IF(K59="","",IF(K59="TREND DOWN","NO",IF(K59="FLAT","YES","WAIT")))</f>
        <v/>
      </c>
      <c r="N59" s="27">
        <f>IF(K59="","",IF(COUNTIF(K50:K59,"FLAT")&gt;=8,"ACTIVATE","No: "&amp;COUNTIF(K50:K59,"FLAT")&amp;"/10"))</f>
        <v/>
      </c>
      <c r="O59" s="28" t="n"/>
    </row>
    <row r="60" ht="18" customHeight="1">
      <c r="A60" s="21" t="n">
        <v>57</v>
      </c>
      <c r="B60" s="22" t="n"/>
      <c r="C60" s="23" t="n"/>
      <c r="D60" s="23" t="n"/>
      <c r="E60" s="23" t="n"/>
      <c r="F60" s="23" t="n"/>
      <c r="G60" s="15">
        <f>IF(AND(D60&lt;&gt;"",E60&lt;&gt;""),D60-E60,"")</f>
        <v/>
      </c>
      <c r="H60" s="15">
        <f>IF(AND(C60&lt;&gt;"",F60&lt;&gt;""),C60-F60,"")</f>
        <v/>
      </c>
      <c r="I60" s="15">
        <f>IF(AND(C60&lt;&gt;"",Dashbord!$B$8&lt;&gt;""),ABS(C60-Dashbord!$B$8),"")</f>
        <v/>
      </c>
      <c r="J60" s="24" t="n"/>
      <c r="K60" s="25">
        <f>IF(G60="","",IF(AND(G60&lt;6,ABS(H60)&lt;3,I60&lt;3),"FLAT",IF(OR(G60&gt;10,ABS(H60)&gt;6),IF(H60&gt;0,"TREND UP","TREND DOWN"),"WAIT")))</f>
        <v/>
      </c>
      <c r="L60" s="26">
        <f>IF(K60="","",IF(K60="FLAT","YES",IF(K60="TREND UP","NO","WAIT")))</f>
        <v/>
      </c>
      <c r="M60" s="26">
        <f>IF(K60="","",IF(K60="TREND DOWN","NO",IF(K60="FLAT","YES","WAIT")))</f>
        <v/>
      </c>
      <c r="N60" s="27">
        <f>IF(K60="","",IF(COUNTIF(K51:K60,"FLAT")&gt;=8,"ACTIVATE","No: "&amp;COUNTIF(K51:K60,"FLAT")&amp;"/10"))</f>
        <v/>
      </c>
      <c r="O60" s="28" t="n"/>
    </row>
    <row r="61" ht="18" customHeight="1">
      <c r="A61" s="21" t="n">
        <v>58</v>
      </c>
      <c r="B61" s="22" t="n"/>
      <c r="C61" s="23" t="n"/>
      <c r="D61" s="23" t="n"/>
      <c r="E61" s="23" t="n"/>
      <c r="F61" s="23" t="n"/>
      <c r="G61" s="15">
        <f>IF(AND(D61&lt;&gt;"",E61&lt;&gt;""),D61-E61,"")</f>
        <v/>
      </c>
      <c r="H61" s="15">
        <f>IF(AND(C61&lt;&gt;"",F61&lt;&gt;""),C61-F61,"")</f>
        <v/>
      </c>
      <c r="I61" s="15">
        <f>IF(AND(C61&lt;&gt;"",Dashbord!$B$8&lt;&gt;""),ABS(C61-Dashbord!$B$8),"")</f>
        <v/>
      </c>
      <c r="J61" s="24" t="n"/>
      <c r="K61" s="25">
        <f>IF(G61="","",IF(AND(G61&lt;6,ABS(H61)&lt;3,I61&lt;3),"FLAT",IF(OR(G61&gt;10,ABS(H61)&gt;6),IF(H61&gt;0,"TREND UP","TREND DOWN"),"WAIT")))</f>
        <v/>
      </c>
      <c r="L61" s="26">
        <f>IF(K61="","",IF(K61="FLAT","YES",IF(K61="TREND UP","NO","WAIT")))</f>
        <v/>
      </c>
      <c r="M61" s="26">
        <f>IF(K61="","",IF(K61="TREND DOWN","NO",IF(K61="FLAT","YES","WAIT")))</f>
        <v/>
      </c>
      <c r="N61" s="27">
        <f>IF(K61="","",IF(COUNTIF(K52:K61,"FLAT")&gt;=8,"ACTIVATE","No: "&amp;COUNTIF(K52:K61,"FLAT")&amp;"/10"))</f>
        <v/>
      </c>
      <c r="O61" s="28" t="n"/>
    </row>
    <row r="62" ht="18" customHeight="1">
      <c r="A62" s="21" t="n">
        <v>59</v>
      </c>
      <c r="B62" s="22" t="n"/>
      <c r="C62" s="23" t="n"/>
      <c r="D62" s="23" t="n"/>
      <c r="E62" s="23" t="n"/>
      <c r="F62" s="23" t="n"/>
      <c r="G62" s="15">
        <f>IF(AND(D62&lt;&gt;"",E62&lt;&gt;""),D62-E62,"")</f>
        <v/>
      </c>
      <c r="H62" s="15">
        <f>IF(AND(C62&lt;&gt;"",F62&lt;&gt;""),C62-F62,"")</f>
        <v/>
      </c>
      <c r="I62" s="15">
        <f>IF(AND(C62&lt;&gt;"",Dashbord!$B$8&lt;&gt;""),ABS(C62-Dashbord!$B$8),"")</f>
        <v/>
      </c>
      <c r="J62" s="24" t="n"/>
      <c r="K62" s="25">
        <f>IF(G62="","",IF(AND(G62&lt;6,ABS(H62)&lt;3,I62&lt;3),"FLAT",IF(OR(G62&gt;10,ABS(H62)&gt;6),IF(H62&gt;0,"TREND UP","TREND DOWN"),"WAIT")))</f>
        <v/>
      </c>
      <c r="L62" s="26">
        <f>IF(K62="","",IF(K62="FLAT","YES",IF(K62="TREND UP","NO","WAIT")))</f>
        <v/>
      </c>
      <c r="M62" s="26">
        <f>IF(K62="","",IF(K62="TREND DOWN","NO",IF(K62="FLAT","YES","WAIT")))</f>
        <v/>
      </c>
      <c r="N62" s="27">
        <f>IF(K62="","",IF(COUNTIF(K53:K62,"FLAT")&gt;=8,"ACTIVATE","No: "&amp;COUNTIF(K53:K62,"FLAT")&amp;"/10"))</f>
        <v/>
      </c>
      <c r="O62" s="28" t="n"/>
    </row>
    <row r="63" ht="18" customHeight="1">
      <c r="A63" s="21" t="n">
        <v>60</v>
      </c>
      <c r="B63" s="22" t="n"/>
      <c r="C63" s="23" t="n"/>
      <c r="D63" s="23" t="n"/>
      <c r="E63" s="23" t="n"/>
      <c r="F63" s="23" t="n"/>
      <c r="G63" s="15">
        <f>IF(AND(D63&lt;&gt;"",E63&lt;&gt;""),D63-E63,"")</f>
        <v/>
      </c>
      <c r="H63" s="15">
        <f>IF(AND(C63&lt;&gt;"",F63&lt;&gt;""),C63-F63,"")</f>
        <v/>
      </c>
      <c r="I63" s="15">
        <f>IF(AND(C63&lt;&gt;"",Dashbord!$B$8&lt;&gt;""),ABS(C63-Dashbord!$B$8),"")</f>
        <v/>
      </c>
      <c r="J63" s="24" t="n"/>
      <c r="K63" s="25">
        <f>IF(G63="","",IF(AND(G63&lt;6,ABS(H63)&lt;3,I63&lt;3),"FLAT",IF(OR(G63&gt;10,ABS(H63)&gt;6),IF(H63&gt;0,"TREND UP","TREND DOWN"),"WAIT")))</f>
        <v/>
      </c>
      <c r="L63" s="26">
        <f>IF(K63="","",IF(K63="FLAT","YES",IF(K63="TREND UP","NO","WAIT")))</f>
        <v/>
      </c>
      <c r="M63" s="26">
        <f>IF(K63="","",IF(K63="TREND DOWN","NO",IF(K63="FLAT","YES","WAIT")))</f>
        <v/>
      </c>
      <c r="N63" s="27">
        <f>IF(K63="","",IF(COUNTIF(K54:K63,"FLAT")&gt;=8,"ACTIVATE","No: "&amp;COUNTIF(K54:K63,"FLAT")&amp;"/10"))</f>
        <v/>
      </c>
      <c r="O63" s="28" t="n"/>
    </row>
  </sheetData>
  <mergeCells count="2">
    <mergeCell ref="A1:O1"/>
    <mergeCell ref="A2:O2"/>
  </mergeCells>
  <conditionalFormatting sqref="K4">
    <cfRule type="cellIs" priority="1" operator="equal" dxfId="0">
      <formula>"FLAT"</formula>
    </cfRule>
    <cfRule type="cellIs" priority="2" operator="equal" dxfId="1">
      <formula>"TREND UP"</formula>
    </cfRule>
    <cfRule type="cellIs" priority="3" operator="equal" dxfId="1">
      <formula>"TREND DOWN"</formula>
    </cfRule>
  </conditionalFormatting>
  <conditionalFormatting sqref="L4:M4">
    <cfRule type="cellIs" priority="4" operator="equal" dxfId="0">
      <formula>"YES"</formula>
    </cfRule>
    <cfRule type="cellIs" priority="5" operator="equal" dxfId="1">
      <formula>"NO"</formula>
    </cfRule>
  </conditionalFormatting>
  <conditionalFormatting sqref="N4">
    <cfRule type="cellIs" priority="6" operator="equal" dxfId="2">
      <formula>"ACTIVATE"</formula>
    </cfRule>
  </conditionalFormatting>
  <conditionalFormatting sqref="K5">
    <cfRule type="cellIs" priority="7" operator="equal" dxfId="0">
      <formula>"FLAT"</formula>
    </cfRule>
    <cfRule type="cellIs" priority="8" operator="equal" dxfId="1">
      <formula>"TREND UP"</formula>
    </cfRule>
    <cfRule type="cellIs" priority="9" operator="equal" dxfId="1">
      <formula>"TREND DOWN"</formula>
    </cfRule>
  </conditionalFormatting>
  <conditionalFormatting sqref="L5:M5">
    <cfRule type="cellIs" priority="10" operator="equal" dxfId="0">
      <formula>"YES"</formula>
    </cfRule>
    <cfRule type="cellIs" priority="11" operator="equal" dxfId="1">
      <formula>"NO"</formula>
    </cfRule>
  </conditionalFormatting>
  <conditionalFormatting sqref="N5">
    <cfRule type="cellIs" priority="12" operator="equal" dxfId="2">
      <formula>"ACTIVATE"</formula>
    </cfRule>
  </conditionalFormatting>
  <conditionalFormatting sqref="K6">
    <cfRule type="cellIs" priority="13" operator="equal" dxfId="0">
      <formula>"FLAT"</formula>
    </cfRule>
    <cfRule type="cellIs" priority="14" operator="equal" dxfId="1">
      <formula>"TREND UP"</formula>
    </cfRule>
    <cfRule type="cellIs" priority="15" operator="equal" dxfId="1">
      <formula>"TREND DOWN"</formula>
    </cfRule>
  </conditionalFormatting>
  <conditionalFormatting sqref="L6:M6">
    <cfRule type="cellIs" priority="16" operator="equal" dxfId="0">
      <formula>"YES"</formula>
    </cfRule>
    <cfRule type="cellIs" priority="17" operator="equal" dxfId="1">
      <formula>"NO"</formula>
    </cfRule>
  </conditionalFormatting>
  <conditionalFormatting sqref="N6">
    <cfRule type="cellIs" priority="18" operator="equal" dxfId="2">
      <formula>"ACTIVATE"</formula>
    </cfRule>
  </conditionalFormatting>
  <conditionalFormatting sqref="K7">
    <cfRule type="cellIs" priority="19" operator="equal" dxfId="0">
      <formula>"FLAT"</formula>
    </cfRule>
    <cfRule type="cellIs" priority="20" operator="equal" dxfId="1">
      <formula>"TREND UP"</formula>
    </cfRule>
    <cfRule type="cellIs" priority="21" operator="equal" dxfId="1">
      <formula>"TREND DOWN"</formula>
    </cfRule>
  </conditionalFormatting>
  <conditionalFormatting sqref="L7:M7">
    <cfRule type="cellIs" priority="22" operator="equal" dxfId="0">
      <formula>"YES"</formula>
    </cfRule>
    <cfRule type="cellIs" priority="23" operator="equal" dxfId="1">
      <formula>"NO"</formula>
    </cfRule>
  </conditionalFormatting>
  <conditionalFormatting sqref="N7">
    <cfRule type="cellIs" priority="24" operator="equal" dxfId="2">
      <formula>"ACTIVATE"</formula>
    </cfRule>
  </conditionalFormatting>
  <conditionalFormatting sqref="K8">
    <cfRule type="cellIs" priority="25" operator="equal" dxfId="0">
      <formula>"FLAT"</formula>
    </cfRule>
    <cfRule type="cellIs" priority="26" operator="equal" dxfId="1">
      <formula>"TREND UP"</formula>
    </cfRule>
    <cfRule type="cellIs" priority="27" operator="equal" dxfId="1">
      <formula>"TREND DOWN"</formula>
    </cfRule>
  </conditionalFormatting>
  <conditionalFormatting sqref="L8:M8">
    <cfRule type="cellIs" priority="28" operator="equal" dxfId="0">
      <formula>"YES"</formula>
    </cfRule>
    <cfRule type="cellIs" priority="29" operator="equal" dxfId="1">
      <formula>"NO"</formula>
    </cfRule>
  </conditionalFormatting>
  <conditionalFormatting sqref="N8">
    <cfRule type="cellIs" priority="30" operator="equal" dxfId="2">
      <formula>"ACTIVATE"</formula>
    </cfRule>
  </conditionalFormatting>
  <conditionalFormatting sqref="K9">
    <cfRule type="cellIs" priority="31" operator="equal" dxfId="0">
      <formula>"FLAT"</formula>
    </cfRule>
    <cfRule type="cellIs" priority="32" operator="equal" dxfId="1">
      <formula>"TREND UP"</formula>
    </cfRule>
    <cfRule type="cellIs" priority="33" operator="equal" dxfId="1">
      <formula>"TREND DOWN"</formula>
    </cfRule>
  </conditionalFormatting>
  <conditionalFormatting sqref="L9:M9">
    <cfRule type="cellIs" priority="34" operator="equal" dxfId="0">
      <formula>"YES"</formula>
    </cfRule>
    <cfRule type="cellIs" priority="35" operator="equal" dxfId="1">
      <formula>"NO"</formula>
    </cfRule>
  </conditionalFormatting>
  <conditionalFormatting sqref="N9">
    <cfRule type="cellIs" priority="36" operator="equal" dxfId="2">
      <formula>"ACTIVATE"</formula>
    </cfRule>
  </conditionalFormatting>
  <conditionalFormatting sqref="K10">
    <cfRule type="cellIs" priority="37" operator="equal" dxfId="0">
      <formula>"FLAT"</formula>
    </cfRule>
    <cfRule type="cellIs" priority="38" operator="equal" dxfId="1">
      <formula>"TREND UP"</formula>
    </cfRule>
    <cfRule type="cellIs" priority="39" operator="equal" dxfId="1">
      <formula>"TREND DOWN"</formula>
    </cfRule>
  </conditionalFormatting>
  <conditionalFormatting sqref="L10:M10">
    <cfRule type="cellIs" priority="40" operator="equal" dxfId="0">
      <formula>"YES"</formula>
    </cfRule>
    <cfRule type="cellIs" priority="41" operator="equal" dxfId="1">
      <formula>"NO"</formula>
    </cfRule>
  </conditionalFormatting>
  <conditionalFormatting sqref="N10">
    <cfRule type="cellIs" priority="42" operator="equal" dxfId="2">
      <formula>"ACTIVATE"</formula>
    </cfRule>
  </conditionalFormatting>
  <conditionalFormatting sqref="K11">
    <cfRule type="cellIs" priority="43" operator="equal" dxfId="0">
      <formula>"FLAT"</formula>
    </cfRule>
    <cfRule type="cellIs" priority="44" operator="equal" dxfId="1">
      <formula>"TREND UP"</formula>
    </cfRule>
    <cfRule type="cellIs" priority="45" operator="equal" dxfId="1">
      <formula>"TREND DOWN"</formula>
    </cfRule>
  </conditionalFormatting>
  <conditionalFormatting sqref="L11:M11">
    <cfRule type="cellIs" priority="46" operator="equal" dxfId="0">
      <formula>"YES"</formula>
    </cfRule>
    <cfRule type="cellIs" priority="47" operator="equal" dxfId="1">
      <formula>"NO"</formula>
    </cfRule>
  </conditionalFormatting>
  <conditionalFormatting sqref="N11">
    <cfRule type="cellIs" priority="48" operator="equal" dxfId="2">
      <formula>"ACTIVATE"</formula>
    </cfRule>
  </conditionalFormatting>
  <conditionalFormatting sqref="K12">
    <cfRule type="cellIs" priority="49" operator="equal" dxfId="0">
      <formula>"FLAT"</formula>
    </cfRule>
    <cfRule type="cellIs" priority="50" operator="equal" dxfId="1">
      <formula>"TREND UP"</formula>
    </cfRule>
    <cfRule type="cellIs" priority="51" operator="equal" dxfId="1">
      <formula>"TREND DOWN"</formula>
    </cfRule>
  </conditionalFormatting>
  <conditionalFormatting sqref="L12:M12">
    <cfRule type="cellIs" priority="52" operator="equal" dxfId="0">
      <formula>"YES"</formula>
    </cfRule>
    <cfRule type="cellIs" priority="53" operator="equal" dxfId="1">
      <formula>"NO"</formula>
    </cfRule>
  </conditionalFormatting>
  <conditionalFormatting sqref="N12">
    <cfRule type="cellIs" priority="54" operator="equal" dxfId="2">
      <formula>"ACTIVATE"</formula>
    </cfRule>
  </conditionalFormatting>
  <conditionalFormatting sqref="K13">
    <cfRule type="cellIs" priority="55" operator="equal" dxfId="0">
      <formula>"FLAT"</formula>
    </cfRule>
    <cfRule type="cellIs" priority="56" operator="equal" dxfId="1">
      <formula>"TREND UP"</formula>
    </cfRule>
    <cfRule type="cellIs" priority="57" operator="equal" dxfId="1">
      <formula>"TREND DOWN"</formula>
    </cfRule>
  </conditionalFormatting>
  <conditionalFormatting sqref="L13:M13">
    <cfRule type="cellIs" priority="58" operator="equal" dxfId="0">
      <formula>"YES"</formula>
    </cfRule>
    <cfRule type="cellIs" priority="59" operator="equal" dxfId="1">
      <formula>"NO"</formula>
    </cfRule>
  </conditionalFormatting>
  <conditionalFormatting sqref="N13">
    <cfRule type="cellIs" priority="60" operator="equal" dxfId="2">
      <formula>"ACTIVATE"</formula>
    </cfRule>
  </conditionalFormatting>
  <conditionalFormatting sqref="K14">
    <cfRule type="cellIs" priority="61" operator="equal" dxfId="0">
      <formula>"FLAT"</formula>
    </cfRule>
    <cfRule type="cellIs" priority="62" operator="equal" dxfId="1">
      <formula>"TREND UP"</formula>
    </cfRule>
    <cfRule type="cellIs" priority="63" operator="equal" dxfId="1">
      <formula>"TREND DOWN"</formula>
    </cfRule>
  </conditionalFormatting>
  <conditionalFormatting sqref="L14:M14">
    <cfRule type="cellIs" priority="64" operator="equal" dxfId="0">
      <formula>"YES"</formula>
    </cfRule>
    <cfRule type="cellIs" priority="65" operator="equal" dxfId="1">
      <formula>"NO"</formula>
    </cfRule>
  </conditionalFormatting>
  <conditionalFormatting sqref="N14">
    <cfRule type="cellIs" priority="66" operator="equal" dxfId="2">
      <formula>"ACTIVATE"</formula>
    </cfRule>
  </conditionalFormatting>
  <conditionalFormatting sqref="K15">
    <cfRule type="cellIs" priority="67" operator="equal" dxfId="0">
      <formula>"FLAT"</formula>
    </cfRule>
    <cfRule type="cellIs" priority="68" operator="equal" dxfId="1">
      <formula>"TREND UP"</formula>
    </cfRule>
    <cfRule type="cellIs" priority="69" operator="equal" dxfId="1">
      <formula>"TREND DOWN"</formula>
    </cfRule>
  </conditionalFormatting>
  <conditionalFormatting sqref="L15:M15">
    <cfRule type="cellIs" priority="70" operator="equal" dxfId="0">
      <formula>"YES"</formula>
    </cfRule>
    <cfRule type="cellIs" priority="71" operator="equal" dxfId="1">
      <formula>"NO"</formula>
    </cfRule>
  </conditionalFormatting>
  <conditionalFormatting sqref="N15">
    <cfRule type="cellIs" priority="72" operator="equal" dxfId="2">
      <formula>"ACTIVATE"</formula>
    </cfRule>
  </conditionalFormatting>
  <conditionalFormatting sqref="K16">
    <cfRule type="cellIs" priority="73" operator="equal" dxfId="0">
      <formula>"FLAT"</formula>
    </cfRule>
    <cfRule type="cellIs" priority="74" operator="equal" dxfId="1">
      <formula>"TREND UP"</formula>
    </cfRule>
    <cfRule type="cellIs" priority="75" operator="equal" dxfId="1">
      <formula>"TREND DOWN"</formula>
    </cfRule>
  </conditionalFormatting>
  <conditionalFormatting sqref="L16:M16">
    <cfRule type="cellIs" priority="76" operator="equal" dxfId="0">
      <formula>"YES"</formula>
    </cfRule>
    <cfRule type="cellIs" priority="77" operator="equal" dxfId="1">
      <formula>"NO"</formula>
    </cfRule>
  </conditionalFormatting>
  <conditionalFormatting sqref="N16">
    <cfRule type="cellIs" priority="78" operator="equal" dxfId="2">
      <formula>"ACTIVATE"</formula>
    </cfRule>
  </conditionalFormatting>
  <conditionalFormatting sqref="K17">
    <cfRule type="cellIs" priority="79" operator="equal" dxfId="0">
      <formula>"FLAT"</formula>
    </cfRule>
    <cfRule type="cellIs" priority="80" operator="equal" dxfId="1">
      <formula>"TREND UP"</formula>
    </cfRule>
    <cfRule type="cellIs" priority="81" operator="equal" dxfId="1">
      <formula>"TREND DOWN"</formula>
    </cfRule>
  </conditionalFormatting>
  <conditionalFormatting sqref="L17:M17">
    <cfRule type="cellIs" priority="82" operator="equal" dxfId="0">
      <formula>"YES"</formula>
    </cfRule>
    <cfRule type="cellIs" priority="83" operator="equal" dxfId="1">
      <formula>"NO"</formula>
    </cfRule>
  </conditionalFormatting>
  <conditionalFormatting sqref="N17">
    <cfRule type="cellIs" priority="84" operator="equal" dxfId="2">
      <formula>"ACTIVATE"</formula>
    </cfRule>
  </conditionalFormatting>
  <conditionalFormatting sqref="K18">
    <cfRule type="cellIs" priority="85" operator="equal" dxfId="0">
      <formula>"FLAT"</formula>
    </cfRule>
    <cfRule type="cellIs" priority="86" operator="equal" dxfId="1">
      <formula>"TREND UP"</formula>
    </cfRule>
    <cfRule type="cellIs" priority="87" operator="equal" dxfId="1">
      <formula>"TREND DOWN"</formula>
    </cfRule>
  </conditionalFormatting>
  <conditionalFormatting sqref="L18:M18">
    <cfRule type="cellIs" priority="88" operator="equal" dxfId="0">
      <formula>"YES"</formula>
    </cfRule>
    <cfRule type="cellIs" priority="89" operator="equal" dxfId="1">
      <formula>"NO"</formula>
    </cfRule>
  </conditionalFormatting>
  <conditionalFormatting sqref="N18">
    <cfRule type="cellIs" priority="90" operator="equal" dxfId="2">
      <formula>"ACTIVATE"</formula>
    </cfRule>
  </conditionalFormatting>
  <conditionalFormatting sqref="K19">
    <cfRule type="cellIs" priority="91" operator="equal" dxfId="0">
      <formula>"FLAT"</formula>
    </cfRule>
    <cfRule type="cellIs" priority="92" operator="equal" dxfId="1">
      <formula>"TREND UP"</formula>
    </cfRule>
    <cfRule type="cellIs" priority="93" operator="equal" dxfId="1">
      <formula>"TREND DOWN"</formula>
    </cfRule>
  </conditionalFormatting>
  <conditionalFormatting sqref="L19:M19">
    <cfRule type="cellIs" priority="94" operator="equal" dxfId="0">
      <formula>"YES"</formula>
    </cfRule>
    <cfRule type="cellIs" priority="95" operator="equal" dxfId="1">
      <formula>"NO"</formula>
    </cfRule>
  </conditionalFormatting>
  <conditionalFormatting sqref="N19">
    <cfRule type="cellIs" priority="96" operator="equal" dxfId="2">
      <formula>"ACTIVATE"</formula>
    </cfRule>
  </conditionalFormatting>
  <conditionalFormatting sqref="K20">
    <cfRule type="cellIs" priority="97" operator="equal" dxfId="0">
      <formula>"FLAT"</formula>
    </cfRule>
    <cfRule type="cellIs" priority="98" operator="equal" dxfId="1">
      <formula>"TREND UP"</formula>
    </cfRule>
    <cfRule type="cellIs" priority="99" operator="equal" dxfId="1">
      <formula>"TREND DOWN"</formula>
    </cfRule>
  </conditionalFormatting>
  <conditionalFormatting sqref="L20:M20">
    <cfRule type="cellIs" priority="100" operator="equal" dxfId="0">
      <formula>"YES"</formula>
    </cfRule>
    <cfRule type="cellIs" priority="101" operator="equal" dxfId="1">
      <formula>"NO"</formula>
    </cfRule>
  </conditionalFormatting>
  <conditionalFormatting sqref="N20">
    <cfRule type="cellIs" priority="102" operator="equal" dxfId="2">
      <formula>"ACTIVATE"</formula>
    </cfRule>
  </conditionalFormatting>
  <conditionalFormatting sqref="K21">
    <cfRule type="cellIs" priority="103" operator="equal" dxfId="0">
      <formula>"FLAT"</formula>
    </cfRule>
    <cfRule type="cellIs" priority="104" operator="equal" dxfId="1">
      <formula>"TREND UP"</formula>
    </cfRule>
    <cfRule type="cellIs" priority="105" operator="equal" dxfId="1">
      <formula>"TREND DOWN"</formula>
    </cfRule>
  </conditionalFormatting>
  <conditionalFormatting sqref="L21:M21">
    <cfRule type="cellIs" priority="106" operator="equal" dxfId="0">
      <formula>"YES"</formula>
    </cfRule>
    <cfRule type="cellIs" priority="107" operator="equal" dxfId="1">
      <formula>"NO"</formula>
    </cfRule>
  </conditionalFormatting>
  <conditionalFormatting sqref="N21">
    <cfRule type="cellIs" priority="108" operator="equal" dxfId="2">
      <formula>"ACTIVATE"</formula>
    </cfRule>
  </conditionalFormatting>
  <conditionalFormatting sqref="K22">
    <cfRule type="cellIs" priority="109" operator="equal" dxfId="0">
      <formula>"FLAT"</formula>
    </cfRule>
    <cfRule type="cellIs" priority="110" operator="equal" dxfId="1">
      <formula>"TREND UP"</formula>
    </cfRule>
    <cfRule type="cellIs" priority="111" operator="equal" dxfId="1">
      <formula>"TREND DOWN"</formula>
    </cfRule>
  </conditionalFormatting>
  <conditionalFormatting sqref="L22:M22">
    <cfRule type="cellIs" priority="112" operator="equal" dxfId="0">
      <formula>"YES"</formula>
    </cfRule>
    <cfRule type="cellIs" priority="113" operator="equal" dxfId="1">
      <formula>"NO"</formula>
    </cfRule>
  </conditionalFormatting>
  <conditionalFormatting sqref="N22">
    <cfRule type="cellIs" priority="114" operator="equal" dxfId="2">
      <formula>"ACTIVATE"</formula>
    </cfRule>
  </conditionalFormatting>
  <conditionalFormatting sqref="K23">
    <cfRule type="cellIs" priority="115" operator="equal" dxfId="0">
      <formula>"FLAT"</formula>
    </cfRule>
    <cfRule type="cellIs" priority="116" operator="equal" dxfId="1">
      <formula>"TREND UP"</formula>
    </cfRule>
    <cfRule type="cellIs" priority="117" operator="equal" dxfId="1">
      <formula>"TREND DOWN"</formula>
    </cfRule>
  </conditionalFormatting>
  <conditionalFormatting sqref="L23:M23">
    <cfRule type="cellIs" priority="118" operator="equal" dxfId="0">
      <formula>"YES"</formula>
    </cfRule>
    <cfRule type="cellIs" priority="119" operator="equal" dxfId="1">
      <formula>"NO"</formula>
    </cfRule>
  </conditionalFormatting>
  <conditionalFormatting sqref="N23">
    <cfRule type="cellIs" priority="120" operator="equal" dxfId="2">
      <formula>"ACTIVATE"</formula>
    </cfRule>
  </conditionalFormatting>
  <conditionalFormatting sqref="K24">
    <cfRule type="cellIs" priority="121" operator="equal" dxfId="0">
      <formula>"FLAT"</formula>
    </cfRule>
    <cfRule type="cellIs" priority="122" operator="equal" dxfId="1">
      <formula>"TREND UP"</formula>
    </cfRule>
    <cfRule type="cellIs" priority="123" operator="equal" dxfId="1">
      <formula>"TREND DOWN"</formula>
    </cfRule>
  </conditionalFormatting>
  <conditionalFormatting sqref="L24:M24">
    <cfRule type="cellIs" priority="124" operator="equal" dxfId="0">
      <formula>"YES"</formula>
    </cfRule>
    <cfRule type="cellIs" priority="125" operator="equal" dxfId="1">
      <formula>"NO"</formula>
    </cfRule>
  </conditionalFormatting>
  <conditionalFormatting sqref="N24">
    <cfRule type="cellIs" priority="126" operator="equal" dxfId="2">
      <formula>"ACTIVATE"</formula>
    </cfRule>
  </conditionalFormatting>
  <conditionalFormatting sqref="K25">
    <cfRule type="cellIs" priority="127" operator="equal" dxfId="0">
      <formula>"FLAT"</formula>
    </cfRule>
    <cfRule type="cellIs" priority="128" operator="equal" dxfId="1">
      <formula>"TREND UP"</formula>
    </cfRule>
    <cfRule type="cellIs" priority="129" operator="equal" dxfId="1">
      <formula>"TREND DOWN"</formula>
    </cfRule>
  </conditionalFormatting>
  <conditionalFormatting sqref="L25:M25">
    <cfRule type="cellIs" priority="130" operator="equal" dxfId="0">
      <formula>"YES"</formula>
    </cfRule>
    <cfRule type="cellIs" priority="131" operator="equal" dxfId="1">
      <formula>"NO"</formula>
    </cfRule>
  </conditionalFormatting>
  <conditionalFormatting sqref="N25">
    <cfRule type="cellIs" priority="132" operator="equal" dxfId="2">
      <formula>"ACTIVATE"</formula>
    </cfRule>
  </conditionalFormatting>
  <conditionalFormatting sqref="K26">
    <cfRule type="cellIs" priority="133" operator="equal" dxfId="0">
      <formula>"FLAT"</formula>
    </cfRule>
    <cfRule type="cellIs" priority="134" operator="equal" dxfId="1">
      <formula>"TREND UP"</formula>
    </cfRule>
    <cfRule type="cellIs" priority="135" operator="equal" dxfId="1">
      <formula>"TREND DOWN"</formula>
    </cfRule>
  </conditionalFormatting>
  <conditionalFormatting sqref="L26:M26">
    <cfRule type="cellIs" priority="136" operator="equal" dxfId="0">
      <formula>"YES"</formula>
    </cfRule>
    <cfRule type="cellIs" priority="137" operator="equal" dxfId="1">
      <formula>"NO"</formula>
    </cfRule>
  </conditionalFormatting>
  <conditionalFormatting sqref="N26">
    <cfRule type="cellIs" priority="138" operator="equal" dxfId="2">
      <formula>"ACTIVATE"</formula>
    </cfRule>
  </conditionalFormatting>
  <conditionalFormatting sqref="K27">
    <cfRule type="cellIs" priority="139" operator="equal" dxfId="0">
      <formula>"FLAT"</formula>
    </cfRule>
    <cfRule type="cellIs" priority="140" operator="equal" dxfId="1">
      <formula>"TREND UP"</formula>
    </cfRule>
    <cfRule type="cellIs" priority="141" operator="equal" dxfId="1">
      <formula>"TREND DOWN"</formula>
    </cfRule>
  </conditionalFormatting>
  <conditionalFormatting sqref="L27:M27">
    <cfRule type="cellIs" priority="142" operator="equal" dxfId="0">
      <formula>"YES"</formula>
    </cfRule>
    <cfRule type="cellIs" priority="143" operator="equal" dxfId="1">
      <formula>"NO"</formula>
    </cfRule>
  </conditionalFormatting>
  <conditionalFormatting sqref="N27">
    <cfRule type="cellIs" priority="144" operator="equal" dxfId="2">
      <formula>"ACTIVATE"</formula>
    </cfRule>
  </conditionalFormatting>
  <conditionalFormatting sqref="K28">
    <cfRule type="cellIs" priority="145" operator="equal" dxfId="0">
      <formula>"FLAT"</formula>
    </cfRule>
    <cfRule type="cellIs" priority="146" operator="equal" dxfId="1">
      <formula>"TREND UP"</formula>
    </cfRule>
    <cfRule type="cellIs" priority="147" operator="equal" dxfId="1">
      <formula>"TREND DOWN"</formula>
    </cfRule>
  </conditionalFormatting>
  <conditionalFormatting sqref="L28:M28">
    <cfRule type="cellIs" priority="148" operator="equal" dxfId="0">
      <formula>"YES"</formula>
    </cfRule>
    <cfRule type="cellIs" priority="149" operator="equal" dxfId="1">
      <formula>"NO"</formula>
    </cfRule>
  </conditionalFormatting>
  <conditionalFormatting sqref="N28">
    <cfRule type="cellIs" priority="150" operator="equal" dxfId="2">
      <formula>"ACTIVATE"</formula>
    </cfRule>
  </conditionalFormatting>
  <conditionalFormatting sqref="K29">
    <cfRule type="cellIs" priority="151" operator="equal" dxfId="0">
      <formula>"FLAT"</formula>
    </cfRule>
    <cfRule type="cellIs" priority="152" operator="equal" dxfId="1">
      <formula>"TREND UP"</formula>
    </cfRule>
    <cfRule type="cellIs" priority="153" operator="equal" dxfId="1">
      <formula>"TREND DOWN"</formula>
    </cfRule>
  </conditionalFormatting>
  <conditionalFormatting sqref="L29:M29">
    <cfRule type="cellIs" priority="154" operator="equal" dxfId="0">
      <formula>"YES"</formula>
    </cfRule>
    <cfRule type="cellIs" priority="155" operator="equal" dxfId="1">
      <formula>"NO"</formula>
    </cfRule>
  </conditionalFormatting>
  <conditionalFormatting sqref="N29">
    <cfRule type="cellIs" priority="156" operator="equal" dxfId="2">
      <formula>"ACTIVATE"</formula>
    </cfRule>
  </conditionalFormatting>
  <conditionalFormatting sqref="K30">
    <cfRule type="cellIs" priority="157" operator="equal" dxfId="0">
      <formula>"FLAT"</formula>
    </cfRule>
    <cfRule type="cellIs" priority="158" operator="equal" dxfId="1">
      <formula>"TREND UP"</formula>
    </cfRule>
    <cfRule type="cellIs" priority="159" operator="equal" dxfId="1">
      <formula>"TREND DOWN"</formula>
    </cfRule>
  </conditionalFormatting>
  <conditionalFormatting sqref="L30:M30">
    <cfRule type="cellIs" priority="160" operator="equal" dxfId="0">
      <formula>"YES"</formula>
    </cfRule>
    <cfRule type="cellIs" priority="161" operator="equal" dxfId="1">
      <formula>"NO"</formula>
    </cfRule>
  </conditionalFormatting>
  <conditionalFormatting sqref="N30">
    <cfRule type="cellIs" priority="162" operator="equal" dxfId="2">
      <formula>"ACTIVATE"</formula>
    </cfRule>
  </conditionalFormatting>
  <conditionalFormatting sqref="K31">
    <cfRule type="cellIs" priority="163" operator="equal" dxfId="0">
      <formula>"FLAT"</formula>
    </cfRule>
    <cfRule type="cellIs" priority="164" operator="equal" dxfId="1">
      <formula>"TREND UP"</formula>
    </cfRule>
    <cfRule type="cellIs" priority="165" operator="equal" dxfId="1">
      <formula>"TREND DOWN"</formula>
    </cfRule>
  </conditionalFormatting>
  <conditionalFormatting sqref="L31:M31">
    <cfRule type="cellIs" priority="166" operator="equal" dxfId="0">
      <formula>"YES"</formula>
    </cfRule>
    <cfRule type="cellIs" priority="167" operator="equal" dxfId="1">
      <formula>"NO"</formula>
    </cfRule>
  </conditionalFormatting>
  <conditionalFormatting sqref="N31">
    <cfRule type="cellIs" priority="168" operator="equal" dxfId="2">
      <formula>"ACTIVATE"</formula>
    </cfRule>
  </conditionalFormatting>
  <conditionalFormatting sqref="K32">
    <cfRule type="cellIs" priority="169" operator="equal" dxfId="0">
      <formula>"FLAT"</formula>
    </cfRule>
    <cfRule type="cellIs" priority="170" operator="equal" dxfId="1">
      <formula>"TREND UP"</formula>
    </cfRule>
    <cfRule type="cellIs" priority="171" operator="equal" dxfId="1">
      <formula>"TREND DOWN"</formula>
    </cfRule>
  </conditionalFormatting>
  <conditionalFormatting sqref="L32:M32">
    <cfRule type="cellIs" priority="172" operator="equal" dxfId="0">
      <formula>"YES"</formula>
    </cfRule>
    <cfRule type="cellIs" priority="173" operator="equal" dxfId="1">
      <formula>"NO"</formula>
    </cfRule>
  </conditionalFormatting>
  <conditionalFormatting sqref="N32">
    <cfRule type="cellIs" priority="174" operator="equal" dxfId="2">
      <formula>"ACTIVATE"</formula>
    </cfRule>
  </conditionalFormatting>
  <conditionalFormatting sqref="K33">
    <cfRule type="cellIs" priority="175" operator="equal" dxfId="0">
      <formula>"FLAT"</formula>
    </cfRule>
    <cfRule type="cellIs" priority="176" operator="equal" dxfId="1">
      <formula>"TREND UP"</formula>
    </cfRule>
    <cfRule type="cellIs" priority="177" operator="equal" dxfId="1">
      <formula>"TREND DOWN"</formula>
    </cfRule>
  </conditionalFormatting>
  <conditionalFormatting sqref="L33:M33">
    <cfRule type="cellIs" priority="178" operator="equal" dxfId="0">
      <formula>"YES"</formula>
    </cfRule>
    <cfRule type="cellIs" priority="179" operator="equal" dxfId="1">
      <formula>"NO"</formula>
    </cfRule>
  </conditionalFormatting>
  <conditionalFormatting sqref="N33">
    <cfRule type="cellIs" priority="180" operator="equal" dxfId="2">
      <formula>"ACTIVATE"</formula>
    </cfRule>
  </conditionalFormatting>
  <conditionalFormatting sqref="K34">
    <cfRule type="cellIs" priority="181" operator="equal" dxfId="0">
      <formula>"FLAT"</formula>
    </cfRule>
    <cfRule type="cellIs" priority="182" operator="equal" dxfId="1">
      <formula>"TREND UP"</formula>
    </cfRule>
    <cfRule type="cellIs" priority="183" operator="equal" dxfId="1">
      <formula>"TREND DOWN"</formula>
    </cfRule>
  </conditionalFormatting>
  <conditionalFormatting sqref="L34:M34">
    <cfRule type="cellIs" priority="184" operator="equal" dxfId="0">
      <formula>"YES"</formula>
    </cfRule>
    <cfRule type="cellIs" priority="185" operator="equal" dxfId="1">
      <formula>"NO"</formula>
    </cfRule>
  </conditionalFormatting>
  <conditionalFormatting sqref="N34">
    <cfRule type="cellIs" priority="186" operator="equal" dxfId="2">
      <formula>"ACTIVATE"</formula>
    </cfRule>
  </conditionalFormatting>
  <conditionalFormatting sqref="K35">
    <cfRule type="cellIs" priority="187" operator="equal" dxfId="0">
      <formula>"FLAT"</formula>
    </cfRule>
    <cfRule type="cellIs" priority="188" operator="equal" dxfId="1">
      <formula>"TREND UP"</formula>
    </cfRule>
    <cfRule type="cellIs" priority="189" operator="equal" dxfId="1">
      <formula>"TREND DOWN"</formula>
    </cfRule>
  </conditionalFormatting>
  <conditionalFormatting sqref="L35:M35">
    <cfRule type="cellIs" priority="190" operator="equal" dxfId="0">
      <formula>"YES"</formula>
    </cfRule>
    <cfRule type="cellIs" priority="191" operator="equal" dxfId="1">
      <formula>"NO"</formula>
    </cfRule>
  </conditionalFormatting>
  <conditionalFormatting sqref="N35">
    <cfRule type="cellIs" priority="192" operator="equal" dxfId="2">
      <formula>"ACTIVATE"</formula>
    </cfRule>
  </conditionalFormatting>
  <conditionalFormatting sqref="K36">
    <cfRule type="cellIs" priority="193" operator="equal" dxfId="0">
      <formula>"FLAT"</formula>
    </cfRule>
    <cfRule type="cellIs" priority="194" operator="equal" dxfId="1">
      <formula>"TREND UP"</formula>
    </cfRule>
    <cfRule type="cellIs" priority="195" operator="equal" dxfId="1">
      <formula>"TREND DOWN"</formula>
    </cfRule>
  </conditionalFormatting>
  <conditionalFormatting sqref="L36:M36">
    <cfRule type="cellIs" priority="196" operator="equal" dxfId="0">
      <formula>"YES"</formula>
    </cfRule>
    <cfRule type="cellIs" priority="197" operator="equal" dxfId="1">
      <formula>"NO"</formula>
    </cfRule>
  </conditionalFormatting>
  <conditionalFormatting sqref="N36">
    <cfRule type="cellIs" priority="198" operator="equal" dxfId="2">
      <formula>"ACTIVATE"</formula>
    </cfRule>
  </conditionalFormatting>
  <conditionalFormatting sqref="K37">
    <cfRule type="cellIs" priority="199" operator="equal" dxfId="0">
      <formula>"FLAT"</formula>
    </cfRule>
    <cfRule type="cellIs" priority="200" operator="equal" dxfId="1">
      <formula>"TREND UP"</formula>
    </cfRule>
    <cfRule type="cellIs" priority="201" operator="equal" dxfId="1">
      <formula>"TREND DOWN"</formula>
    </cfRule>
  </conditionalFormatting>
  <conditionalFormatting sqref="L37:M37">
    <cfRule type="cellIs" priority="202" operator="equal" dxfId="0">
      <formula>"YES"</formula>
    </cfRule>
    <cfRule type="cellIs" priority="203" operator="equal" dxfId="1">
      <formula>"NO"</formula>
    </cfRule>
  </conditionalFormatting>
  <conditionalFormatting sqref="N37">
    <cfRule type="cellIs" priority="204" operator="equal" dxfId="2">
      <formula>"ACTIVATE"</formula>
    </cfRule>
  </conditionalFormatting>
  <conditionalFormatting sqref="K38">
    <cfRule type="cellIs" priority="205" operator="equal" dxfId="0">
      <formula>"FLAT"</formula>
    </cfRule>
    <cfRule type="cellIs" priority="206" operator="equal" dxfId="1">
      <formula>"TREND UP"</formula>
    </cfRule>
    <cfRule type="cellIs" priority="207" operator="equal" dxfId="1">
      <formula>"TREND DOWN"</formula>
    </cfRule>
  </conditionalFormatting>
  <conditionalFormatting sqref="L38:M38">
    <cfRule type="cellIs" priority="208" operator="equal" dxfId="0">
      <formula>"YES"</formula>
    </cfRule>
    <cfRule type="cellIs" priority="209" operator="equal" dxfId="1">
      <formula>"NO"</formula>
    </cfRule>
  </conditionalFormatting>
  <conditionalFormatting sqref="N38">
    <cfRule type="cellIs" priority="210" operator="equal" dxfId="2">
      <formula>"ACTIVATE"</formula>
    </cfRule>
  </conditionalFormatting>
  <conditionalFormatting sqref="K39">
    <cfRule type="cellIs" priority="211" operator="equal" dxfId="0">
      <formula>"FLAT"</formula>
    </cfRule>
    <cfRule type="cellIs" priority="212" operator="equal" dxfId="1">
      <formula>"TREND UP"</formula>
    </cfRule>
    <cfRule type="cellIs" priority="213" operator="equal" dxfId="1">
      <formula>"TREND DOWN"</formula>
    </cfRule>
  </conditionalFormatting>
  <conditionalFormatting sqref="L39:M39">
    <cfRule type="cellIs" priority="214" operator="equal" dxfId="0">
      <formula>"YES"</formula>
    </cfRule>
    <cfRule type="cellIs" priority="215" operator="equal" dxfId="1">
      <formula>"NO"</formula>
    </cfRule>
  </conditionalFormatting>
  <conditionalFormatting sqref="N39">
    <cfRule type="cellIs" priority="216" operator="equal" dxfId="2">
      <formula>"ACTIVATE"</formula>
    </cfRule>
  </conditionalFormatting>
  <conditionalFormatting sqref="K40">
    <cfRule type="cellIs" priority="217" operator="equal" dxfId="0">
      <formula>"FLAT"</formula>
    </cfRule>
    <cfRule type="cellIs" priority="218" operator="equal" dxfId="1">
      <formula>"TREND UP"</formula>
    </cfRule>
    <cfRule type="cellIs" priority="219" operator="equal" dxfId="1">
      <formula>"TREND DOWN"</formula>
    </cfRule>
  </conditionalFormatting>
  <conditionalFormatting sqref="L40:M40">
    <cfRule type="cellIs" priority="220" operator="equal" dxfId="0">
      <formula>"YES"</formula>
    </cfRule>
    <cfRule type="cellIs" priority="221" operator="equal" dxfId="1">
      <formula>"NO"</formula>
    </cfRule>
  </conditionalFormatting>
  <conditionalFormatting sqref="N40">
    <cfRule type="cellIs" priority="222" operator="equal" dxfId="2">
      <formula>"ACTIVATE"</formula>
    </cfRule>
  </conditionalFormatting>
  <conditionalFormatting sqref="K41">
    <cfRule type="cellIs" priority="223" operator="equal" dxfId="0">
      <formula>"FLAT"</formula>
    </cfRule>
    <cfRule type="cellIs" priority="224" operator="equal" dxfId="1">
      <formula>"TREND UP"</formula>
    </cfRule>
    <cfRule type="cellIs" priority="225" operator="equal" dxfId="1">
      <formula>"TREND DOWN"</formula>
    </cfRule>
  </conditionalFormatting>
  <conditionalFormatting sqref="L41:M41">
    <cfRule type="cellIs" priority="226" operator="equal" dxfId="0">
      <formula>"YES"</formula>
    </cfRule>
    <cfRule type="cellIs" priority="227" operator="equal" dxfId="1">
      <formula>"NO"</formula>
    </cfRule>
  </conditionalFormatting>
  <conditionalFormatting sqref="N41">
    <cfRule type="cellIs" priority="228" operator="equal" dxfId="2">
      <formula>"ACTIVATE"</formula>
    </cfRule>
  </conditionalFormatting>
  <conditionalFormatting sqref="K42">
    <cfRule type="cellIs" priority="229" operator="equal" dxfId="0">
      <formula>"FLAT"</formula>
    </cfRule>
    <cfRule type="cellIs" priority="230" operator="equal" dxfId="1">
      <formula>"TREND UP"</formula>
    </cfRule>
    <cfRule type="cellIs" priority="231" operator="equal" dxfId="1">
      <formula>"TREND DOWN"</formula>
    </cfRule>
  </conditionalFormatting>
  <conditionalFormatting sqref="L42:M42">
    <cfRule type="cellIs" priority="232" operator="equal" dxfId="0">
      <formula>"YES"</formula>
    </cfRule>
    <cfRule type="cellIs" priority="233" operator="equal" dxfId="1">
      <formula>"NO"</formula>
    </cfRule>
  </conditionalFormatting>
  <conditionalFormatting sqref="N42">
    <cfRule type="cellIs" priority="234" operator="equal" dxfId="2">
      <formula>"ACTIVATE"</formula>
    </cfRule>
  </conditionalFormatting>
  <conditionalFormatting sqref="K43">
    <cfRule type="cellIs" priority="235" operator="equal" dxfId="0">
      <formula>"FLAT"</formula>
    </cfRule>
    <cfRule type="cellIs" priority="236" operator="equal" dxfId="1">
      <formula>"TREND UP"</formula>
    </cfRule>
    <cfRule type="cellIs" priority="237" operator="equal" dxfId="1">
      <formula>"TREND DOWN"</formula>
    </cfRule>
  </conditionalFormatting>
  <conditionalFormatting sqref="L43:M43">
    <cfRule type="cellIs" priority="238" operator="equal" dxfId="0">
      <formula>"YES"</formula>
    </cfRule>
    <cfRule type="cellIs" priority="239" operator="equal" dxfId="1">
      <formula>"NO"</formula>
    </cfRule>
  </conditionalFormatting>
  <conditionalFormatting sqref="N43">
    <cfRule type="cellIs" priority="240" operator="equal" dxfId="2">
      <formula>"ACTIVATE"</formula>
    </cfRule>
  </conditionalFormatting>
  <conditionalFormatting sqref="K44">
    <cfRule type="cellIs" priority="241" operator="equal" dxfId="0">
      <formula>"FLAT"</formula>
    </cfRule>
    <cfRule type="cellIs" priority="242" operator="equal" dxfId="1">
      <formula>"TREND UP"</formula>
    </cfRule>
    <cfRule type="cellIs" priority="243" operator="equal" dxfId="1">
      <formula>"TREND DOWN"</formula>
    </cfRule>
  </conditionalFormatting>
  <conditionalFormatting sqref="L44:M44">
    <cfRule type="cellIs" priority="244" operator="equal" dxfId="0">
      <formula>"YES"</formula>
    </cfRule>
    <cfRule type="cellIs" priority="245" operator="equal" dxfId="1">
      <formula>"NO"</formula>
    </cfRule>
  </conditionalFormatting>
  <conditionalFormatting sqref="N44">
    <cfRule type="cellIs" priority="246" operator="equal" dxfId="2">
      <formula>"ACTIVATE"</formula>
    </cfRule>
  </conditionalFormatting>
  <conditionalFormatting sqref="K45">
    <cfRule type="cellIs" priority="247" operator="equal" dxfId="0">
      <formula>"FLAT"</formula>
    </cfRule>
    <cfRule type="cellIs" priority="248" operator="equal" dxfId="1">
      <formula>"TREND UP"</formula>
    </cfRule>
    <cfRule type="cellIs" priority="249" operator="equal" dxfId="1">
      <formula>"TREND DOWN"</formula>
    </cfRule>
  </conditionalFormatting>
  <conditionalFormatting sqref="L45:M45">
    <cfRule type="cellIs" priority="250" operator="equal" dxfId="0">
      <formula>"YES"</formula>
    </cfRule>
    <cfRule type="cellIs" priority="251" operator="equal" dxfId="1">
      <formula>"NO"</formula>
    </cfRule>
  </conditionalFormatting>
  <conditionalFormatting sqref="N45">
    <cfRule type="cellIs" priority="252" operator="equal" dxfId="2">
      <formula>"ACTIVATE"</formula>
    </cfRule>
  </conditionalFormatting>
  <conditionalFormatting sqref="K46">
    <cfRule type="cellIs" priority="253" operator="equal" dxfId="0">
      <formula>"FLAT"</formula>
    </cfRule>
    <cfRule type="cellIs" priority="254" operator="equal" dxfId="1">
      <formula>"TREND UP"</formula>
    </cfRule>
    <cfRule type="cellIs" priority="255" operator="equal" dxfId="1">
      <formula>"TREND DOWN"</formula>
    </cfRule>
  </conditionalFormatting>
  <conditionalFormatting sqref="L46:M46">
    <cfRule type="cellIs" priority="256" operator="equal" dxfId="0">
      <formula>"YES"</formula>
    </cfRule>
    <cfRule type="cellIs" priority="257" operator="equal" dxfId="1">
      <formula>"NO"</formula>
    </cfRule>
  </conditionalFormatting>
  <conditionalFormatting sqref="N46">
    <cfRule type="cellIs" priority="258" operator="equal" dxfId="2">
      <formula>"ACTIVATE"</formula>
    </cfRule>
  </conditionalFormatting>
  <conditionalFormatting sqref="K47">
    <cfRule type="cellIs" priority="259" operator="equal" dxfId="0">
      <formula>"FLAT"</formula>
    </cfRule>
    <cfRule type="cellIs" priority="260" operator="equal" dxfId="1">
      <formula>"TREND UP"</formula>
    </cfRule>
    <cfRule type="cellIs" priority="261" operator="equal" dxfId="1">
      <formula>"TREND DOWN"</formula>
    </cfRule>
  </conditionalFormatting>
  <conditionalFormatting sqref="L47:M47">
    <cfRule type="cellIs" priority="262" operator="equal" dxfId="0">
      <formula>"YES"</formula>
    </cfRule>
    <cfRule type="cellIs" priority="263" operator="equal" dxfId="1">
      <formula>"NO"</formula>
    </cfRule>
  </conditionalFormatting>
  <conditionalFormatting sqref="N47">
    <cfRule type="cellIs" priority="264" operator="equal" dxfId="2">
      <formula>"ACTIVATE"</formula>
    </cfRule>
  </conditionalFormatting>
  <conditionalFormatting sqref="K48">
    <cfRule type="cellIs" priority="265" operator="equal" dxfId="0">
      <formula>"FLAT"</formula>
    </cfRule>
    <cfRule type="cellIs" priority="266" operator="equal" dxfId="1">
      <formula>"TREND UP"</formula>
    </cfRule>
    <cfRule type="cellIs" priority="267" operator="equal" dxfId="1">
      <formula>"TREND DOWN"</formula>
    </cfRule>
  </conditionalFormatting>
  <conditionalFormatting sqref="L48:M48">
    <cfRule type="cellIs" priority="268" operator="equal" dxfId="0">
      <formula>"YES"</formula>
    </cfRule>
    <cfRule type="cellIs" priority="269" operator="equal" dxfId="1">
      <formula>"NO"</formula>
    </cfRule>
  </conditionalFormatting>
  <conditionalFormatting sqref="N48">
    <cfRule type="cellIs" priority="270" operator="equal" dxfId="2">
      <formula>"ACTIVATE"</formula>
    </cfRule>
  </conditionalFormatting>
  <conditionalFormatting sqref="K49">
    <cfRule type="cellIs" priority="271" operator="equal" dxfId="0">
      <formula>"FLAT"</formula>
    </cfRule>
    <cfRule type="cellIs" priority="272" operator="equal" dxfId="1">
      <formula>"TREND UP"</formula>
    </cfRule>
    <cfRule type="cellIs" priority="273" operator="equal" dxfId="1">
      <formula>"TREND DOWN"</formula>
    </cfRule>
  </conditionalFormatting>
  <conditionalFormatting sqref="L49:M49">
    <cfRule type="cellIs" priority="274" operator="equal" dxfId="0">
      <formula>"YES"</formula>
    </cfRule>
    <cfRule type="cellIs" priority="275" operator="equal" dxfId="1">
      <formula>"NO"</formula>
    </cfRule>
  </conditionalFormatting>
  <conditionalFormatting sqref="N49">
    <cfRule type="cellIs" priority="276" operator="equal" dxfId="2">
      <formula>"ACTIVATE"</formula>
    </cfRule>
  </conditionalFormatting>
  <conditionalFormatting sqref="K50">
    <cfRule type="cellIs" priority="277" operator="equal" dxfId="0">
      <formula>"FLAT"</formula>
    </cfRule>
    <cfRule type="cellIs" priority="278" operator="equal" dxfId="1">
      <formula>"TREND UP"</formula>
    </cfRule>
    <cfRule type="cellIs" priority="279" operator="equal" dxfId="1">
      <formula>"TREND DOWN"</formula>
    </cfRule>
  </conditionalFormatting>
  <conditionalFormatting sqref="L50:M50">
    <cfRule type="cellIs" priority="280" operator="equal" dxfId="0">
      <formula>"YES"</formula>
    </cfRule>
    <cfRule type="cellIs" priority="281" operator="equal" dxfId="1">
      <formula>"NO"</formula>
    </cfRule>
  </conditionalFormatting>
  <conditionalFormatting sqref="N50">
    <cfRule type="cellIs" priority="282" operator="equal" dxfId="2">
      <formula>"ACTIVATE"</formula>
    </cfRule>
  </conditionalFormatting>
  <conditionalFormatting sqref="K51">
    <cfRule type="cellIs" priority="283" operator="equal" dxfId="0">
      <formula>"FLAT"</formula>
    </cfRule>
    <cfRule type="cellIs" priority="284" operator="equal" dxfId="1">
      <formula>"TREND UP"</formula>
    </cfRule>
    <cfRule type="cellIs" priority="285" operator="equal" dxfId="1">
      <formula>"TREND DOWN"</formula>
    </cfRule>
  </conditionalFormatting>
  <conditionalFormatting sqref="L51:M51">
    <cfRule type="cellIs" priority="286" operator="equal" dxfId="0">
      <formula>"YES"</formula>
    </cfRule>
    <cfRule type="cellIs" priority="287" operator="equal" dxfId="1">
      <formula>"NO"</formula>
    </cfRule>
  </conditionalFormatting>
  <conditionalFormatting sqref="N51">
    <cfRule type="cellIs" priority="288" operator="equal" dxfId="2">
      <formula>"ACTIVATE"</formula>
    </cfRule>
  </conditionalFormatting>
  <conditionalFormatting sqref="K52">
    <cfRule type="cellIs" priority="289" operator="equal" dxfId="0">
      <formula>"FLAT"</formula>
    </cfRule>
    <cfRule type="cellIs" priority="290" operator="equal" dxfId="1">
      <formula>"TREND UP"</formula>
    </cfRule>
    <cfRule type="cellIs" priority="291" operator="equal" dxfId="1">
      <formula>"TREND DOWN"</formula>
    </cfRule>
  </conditionalFormatting>
  <conditionalFormatting sqref="L52:M52">
    <cfRule type="cellIs" priority="292" operator="equal" dxfId="0">
      <formula>"YES"</formula>
    </cfRule>
    <cfRule type="cellIs" priority="293" operator="equal" dxfId="1">
      <formula>"NO"</formula>
    </cfRule>
  </conditionalFormatting>
  <conditionalFormatting sqref="N52">
    <cfRule type="cellIs" priority="294" operator="equal" dxfId="2">
      <formula>"ACTIVATE"</formula>
    </cfRule>
  </conditionalFormatting>
  <conditionalFormatting sqref="K53">
    <cfRule type="cellIs" priority="295" operator="equal" dxfId="0">
      <formula>"FLAT"</formula>
    </cfRule>
    <cfRule type="cellIs" priority="296" operator="equal" dxfId="1">
      <formula>"TREND UP"</formula>
    </cfRule>
    <cfRule type="cellIs" priority="297" operator="equal" dxfId="1">
      <formula>"TREND DOWN"</formula>
    </cfRule>
  </conditionalFormatting>
  <conditionalFormatting sqref="L53:M53">
    <cfRule type="cellIs" priority="298" operator="equal" dxfId="0">
      <formula>"YES"</formula>
    </cfRule>
    <cfRule type="cellIs" priority="299" operator="equal" dxfId="1">
      <formula>"NO"</formula>
    </cfRule>
  </conditionalFormatting>
  <conditionalFormatting sqref="N53">
    <cfRule type="cellIs" priority="300" operator="equal" dxfId="2">
      <formula>"ACTIVATE"</formula>
    </cfRule>
  </conditionalFormatting>
  <conditionalFormatting sqref="K54">
    <cfRule type="cellIs" priority="301" operator="equal" dxfId="0">
      <formula>"FLAT"</formula>
    </cfRule>
    <cfRule type="cellIs" priority="302" operator="equal" dxfId="1">
      <formula>"TREND UP"</formula>
    </cfRule>
    <cfRule type="cellIs" priority="303" operator="equal" dxfId="1">
      <formula>"TREND DOWN"</formula>
    </cfRule>
  </conditionalFormatting>
  <conditionalFormatting sqref="L54:M54">
    <cfRule type="cellIs" priority="304" operator="equal" dxfId="0">
      <formula>"YES"</formula>
    </cfRule>
    <cfRule type="cellIs" priority="305" operator="equal" dxfId="1">
      <formula>"NO"</formula>
    </cfRule>
  </conditionalFormatting>
  <conditionalFormatting sqref="N54">
    <cfRule type="cellIs" priority="306" operator="equal" dxfId="2">
      <formula>"ACTIVATE"</formula>
    </cfRule>
  </conditionalFormatting>
  <conditionalFormatting sqref="K55">
    <cfRule type="cellIs" priority="307" operator="equal" dxfId="0">
      <formula>"FLAT"</formula>
    </cfRule>
    <cfRule type="cellIs" priority="308" operator="equal" dxfId="1">
      <formula>"TREND UP"</formula>
    </cfRule>
    <cfRule type="cellIs" priority="309" operator="equal" dxfId="1">
      <formula>"TREND DOWN"</formula>
    </cfRule>
  </conditionalFormatting>
  <conditionalFormatting sqref="L55:M55">
    <cfRule type="cellIs" priority="310" operator="equal" dxfId="0">
      <formula>"YES"</formula>
    </cfRule>
    <cfRule type="cellIs" priority="311" operator="equal" dxfId="1">
      <formula>"NO"</formula>
    </cfRule>
  </conditionalFormatting>
  <conditionalFormatting sqref="N55">
    <cfRule type="cellIs" priority="312" operator="equal" dxfId="2">
      <formula>"ACTIVATE"</formula>
    </cfRule>
  </conditionalFormatting>
  <conditionalFormatting sqref="K56">
    <cfRule type="cellIs" priority="313" operator="equal" dxfId="0">
      <formula>"FLAT"</formula>
    </cfRule>
    <cfRule type="cellIs" priority="314" operator="equal" dxfId="1">
      <formula>"TREND UP"</formula>
    </cfRule>
    <cfRule type="cellIs" priority="315" operator="equal" dxfId="1">
      <formula>"TREND DOWN"</formula>
    </cfRule>
  </conditionalFormatting>
  <conditionalFormatting sqref="L56:M56">
    <cfRule type="cellIs" priority="316" operator="equal" dxfId="0">
      <formula>"YES"</formula>
    </cfRule>
    <cfRule type="cellIs" priority="317" operator="equal" dxfId="1">
      <formula>"NO"</formula>
    </cfRule>
  </conditionalFormatting>
  <conditionalFormatting sqref="N56">
    <cfRule type="cellIs" priority="318" operator="equal" dxfId="2">
      <formula>"ACTIVATE"</formula>
    </cfRule>
  </conditionalFormatting>
  <conditionalFormatting sqref="K57">
    <cfRule type="cellIs" priority="319" operator="equal" dxfId="0">
      <formula>"FLAT"</formula>
    </cfRule>
    <cfRule type="cellIs" priority="320" operator="equal" dxfId="1">
      <formula>"TREND UP"</formula>
    </cfRule>
    <cfRule type="cellIs" priority="321" operator="equal" dxfId="1">
      <formula>"TREND DOWN"</formula>
    </cfRule>
  </conditionalFormatting>
  <conditionalFormatting sqref="L57:M57">
    <cfRule type="cellIs" priority="322" operator="equal" dxfId="0">
      <formula>"YES"</formula>
    </cfRule>
    <cfRule type="cellIs" priority="323" operator="equal" dxfId="1">
      <formula>"NO"</formula>
    </cfRule>
  </conditionalFormatting>
  <conditionalFormatting sqref="N57">
    <cfRule type="cellIs" priority="324" operator="equal" dxfId="2">
      <formula>"ACTIVATE"</formula>
    </cfRule>
  </conditionalFormatting>
  <conditionalFormatting sqref="K58">
    <cfRule type="cellIs" priority="325" operator="equal" dxfId="0">
      <formula>"FLAT"</formula>
    </cfRule>
    <cfRule type="cellIs" priority="326" operator="equal" dxfId="1">
      <formula>"TREND UP"</formula>
    </cfRule>
    <cfRule type="cellIs" priority="327" operator="equal" dxfId="1">
      <formula>"TREND DOWN"</formula>
    </cfRule>
  </conditionalFormatting>
  <conditionalFormatting sqref="L58:M58">
    <cfRule type="cellIs" priority="328" operator="equal" dxfId="0">
      <formula>"YES"</formula>
    </cfRule>
    <cfRule type="cellIs" priority="329" operator="equal" dxfId="1">
      <formula>"NO"</formula>
    </cfRule>
  </conditionalFormatting>
  <conditionalFormatting sqref="N58">
    <cfRule type="cellIs" priority="330" operator="equal" dxfId="2">
      <formula>"ACTIVATE"</formula>
    </cfRule>
  </conditionalFormatting>
  <conditionalFormatting sqref="K59">
    <cfRule type="cellIs" priority="331" operator="equal" dxfId="0">
      <formula>"FLAT"</formula>
    </cfRule>
    <cfRule type="cellIs" priority="332" operator="equal" dxfId="1">
      <formula>"TREND UP"</formula>
    </cfRule>
    <cfRule type="cellIs" priority="333" operator="equal" dxfId="1">
      <formula>"TREND DOWN"</formula>
    </cfRule>
  </conditionalFormatting>
  <conditionalFormatting sqref="L59:M59">
    <cfRule type="cellIs" priority="334" operator="equal" dxfId="0">
      <formula>"YES"</formula>
    </cfRule>
    <cfRule type="cellIs" priority="335" operator="equal" dxfId="1">
      <formula>"NO"</formula>
    </cfRule>
  </conditionalFormatting>
  <conditionalFormatting sqref="N59">
    <cfRule type="cellIs" priority="336" operator="equal" dxfId="2">
      <formula>"ACTIVATE"</formula>
    </cfRule>
  </conditionalFormatting>
  <conditionalFormatting sqref="K60">
    <cfRule type="cellIs" priority="337" operator="equal" dxfId="0">
      <formula>"FLAT"</formula>
    </cfRule>
    <cfRule type="cellIs" priority="338" operator="equal" dxfId="1">
      <formula>"TREND UP"</formula>
    </cfRule>
    <cfRule type="cellIs" priority="339" operator="equal" dxfId="1">
      <formula>"TREND DOWN"</formula>
    </cfRule>
  </conditionalFormatting>
  <conditionalFormatting sqref="L60:M60">
    <cfRule type="cellIs" priority="340" operator="equal" dxfId="0">
      <formula>"YES"</formula>
    </cfRule>
    <cfRule type="cellIs" priority="341" operator="equal" dxfId="1">
      <formula>"NO"</formula>
    </cfRule>
  </conditionalFormatting>
  <conditionalFormatting sqref="N60">
    <cfRule type="cellIs" priority="342" operator="equal" dxfId="2">
      <formula>"ACTIVATE"</formula>
    </cfRule>
  </conditionalFormatting>
  <conditionalFormatting sqref="K61">
    <cfRule type="cellIs" priority="343" operator="equal" dxfId="0">
      <formula>"FLAT"</formula>
    </cfRule>
    <cfRule type="cellIs" priority="344" operator="equal" dxfId="1">
      <formula>"TREND UP"</formula>
    </cfRule>
    <cfRule type="cellIs" priority="345" operator="equal" dxfId="1">
      <formula>"TREND DOWN"</formula>
    </cfRule>
  </conditionalFormatting>
  <conditionalFormatting sqref="L61:M61">
    <cfRule type="cellIs" priority="346" operator="equal" dxfId="0">
      <formula>"YES"</formula>
    </cfRule>
    <cfRule type="cellIs" priority="347" operator="equal" dxfId="1">
      <formula>"NO"</formula>
    </cfRule>
  </conditionalFormatting>
  <conditionalFormatting sqref="N61">
    <cfRule type="cellIs" priority="348" operator="equal" dxfId="2">
      <formula>"ACTIVATE"</formula>
    </cfRule>
  </conditionalFormatting>
  <conditionalFormatting sqref="K62">
    <cfRule type="cellIs" priority="349" operator="equal" dxfId="0">
      <formula>"FLAT"</formula>
    </cfRule>
    <cfRule type="cellIs" priority="350" operator="equal" dxfId="1">
      <formula>"TREND UP"</formula>
    </cfRule>
    <cfRule type="cellIs" priority="351" operator="equal" dxfId="1">
      <formula>"TREND DOWN"</formula>
    </cfRule>
  </conditionalFormatting>
  <conditionalFormatting sqref="L62:M62">
    <cfRule type="cellIs" priority="352" operator="equal" dxfId="0">
      <formula>"YES"</formula>
    </cfRule>
    <cfRule type="cellIs" priority="353" operator="equal" dxfId="1">
      <formula>"NO"</formula>
    </cfRule>
  </conditionalFormatting>
  <conditionalFormatting sqref="N62">
    <cfRule type="cellIs" priority="354" operator="equal" dxfId="2">
      <formula>"ACTIVATE"</formula>
    </cfRule>
  </conditionalFormatting>
  <conditionalFormatting sqref="K63">
    <cfRule type="cellIs" priority="355" operator="equal" dxfId="0">
      <formula>"FLAT"</formula>
    </cfRule>
    <cfRule type="cellIs" priority="356" operator="equal" dxfId="1">
      <formula>"TREND UP"</formula>
    </cfRule>
    <cfRule type="cellIs" priority="357" operator="equal" dxfId="1">
      <formula>"TREND DOWN"</formula>
    </cfRule>
  </conditionalFormatting>
  <conditionalFormatting sqref="L63:M63">
    <cfRule type="cellIs" priority="358" operator="equal" dxfId="0">
      <formula>"YES"</formula>
    </cfRule>
    <cfRule type="cellIs" priority="359" operator="equal" dxfId="1">
      <formula>"NO"</formula>
    </cfRule>
  </conditionalFormatting>
  <conditionalFormatting sqref="N63">
    <cfRule type="cellIs" priority="360" operator="equal" dxfId="2">
      <formula>"ACTIVATE"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" customWidth="1" min="3" max="3"/>
    <col width="28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</cols>
  <sheetData>
    <row r="1" ht="30" customHeight="1">
      <c r="A1" s="18" t="inlineStr">
        <is>
          <t>КАЛЬКУЛЯТОР СТРАТЕГИИ + P&amp;L ПРОФИЛЬ</t>
        </is>
      </c>
      <c r="B1" s="56" t="n"/>
      <c r="C1" s="56" t="n"/>
      <c r="D1" s="56" t="n"/>
      <c r="E1" s="56" t="n"/>
      <c r="F1" s="56" t="n"/>
      <c r="G1" s="56" t="n"/>
      <c r="H1" s="57" t="n"/>
    </row>
    <row r="3" ht="22" customHeight="1">
      <c r="A3" s="4" t="inlineStr">
        <is>
          <t>ПАРАМЕТРЫ ПОЗИЦИИ</t>
        </is>
      </c>
      <c r="B3" s="57" t="n"/>
      <c r="D3" s="5" t="inlineStr">
        <is>
          <t>РАСЧЁТ СТОИМОСТИ НОГ (Black-Scholes)</t>
        </is>
      </c>
      <c r="E3" s="57" t="n"/>
      <c r="F3" s="63" t="inlineStr">
        <is>
          <t>ТЕОР. ЦЕНА</t>
        </is>
      </c>
      <c r="G3" s="63" t="inlineStr">
        <is>
          <t>РУЧНЫЕ РЫНОЧНЫЕ ЦЕНЫ</t>
        </is>
      </c>
    </row>
    <row r="4" ht="20" customHeight="1">
      <c r="A4" s="7" t="inlineStr">
        <is>
          <t>Цена актива S:</t>
        </is>
      </c>
      <c r="B4" s="66">
        <f>Dashbord!E7</f>
        <v/>
      </c>
      <c r="G4" s="61" t="inlineStr">
        <is>
          <t>BUY PUT вход</t>
        </is>
      </c>
      <c r="H4" s="66" t="inlineStr"/>
      <c r="I4" s="61" t="inlineStr">
        <is>
          <t>BUY PUT тек.</t>
        </is>
      </c>
      <c r="J4" s="66" t="inlineStr"/>
    </row>
    <row r="5" ht="20" customHeight="1">
      <c r="A5" s="7" t="inlineStr">
        <is>
          <t>Центральный страйк:</t>
        </is>
      </c>
      <c r="B5" s="12" t="n">
        <v>315</v>
      </c>
      <c r="G5" s="61" t="inlineStr">
        <is>
          <t>SELL PUT вход</t>
        </is>
      </c>
      <c r="H5" s="66" t="inlineStr"/>
      <c r="I5" s="61" t="inlineStr">
        <is>
          <t>SELL PUT тек.</t>
        </is>
      </c>
      <c r="J5" s="66" t="inlineStr"/>
    </row>
    <row r="6" ht="20" customHeight="1">
      <c r="A6" s="7" t="inlineStr">
        <is>
          <t>BUY PUT страйк (Ц-10):</t>
        </is>
      </c>
      <c r="B6" s="12" t="n">
        <v>305</v>
      </c>
      <c r="G6" s="61" t="inlineStr">
        <is>
          <t>BUY CALL вход</t>
        </is>
      </c>
      <c r="H6" s="66" t="inlineStr"/>
      <c r="I6" s="61" t="inlineStr">
        <is>
          <t>BUY CALL тек.</t>
        </is>
      </c>
      <c r="J6" s="66" t="inlineStr"/>
    </row>
    <row r="7" ht="20" customHeight="1">
      <c r="A7" s="7" t="inlineStr">
        <is>
          <t>SELL PUT страйк (Ц):</t>
        </is>
      </c>
      <c r="B7" s="12" t="n">
        <v>315</v>
      </c>
      <c r="G7" s="61" t="inlineStr">
        <is>
          <t>SELL CALL вход</t>
        </is>
      </c>
      <c r="H7" s="66" t="inlineStr"/>
      <c r="I7" s="61" t="inlineStr">
        <is>
          <t>SELL CALL тек.</t>
        </is>
      </c>
      <c r="J7" s="66" t="inlineStr"/>
    </row>
    <row r="8" ht="20" customHeight="1">
      <c r="A8" s="7" t="inlineStr">
        <is>
          <t>BUY CALL страйк (Ц+5):</t>
        </is>
      </c>
      <c r="B8" s="12" t="n">
        <v>320</v>
      </c>
    </row>
    <row r="9" ht="20" customHeight="1">
      <c r="A9" s="7" t="inlineStr">
        <is>
          <t>SELL CALL страйк (Ц+15):</t>
        </is>
      </c>
      <c r="B9" s="12" t="n">
        <v>330</v>
      </c>
      <c r="G9" s="63" t="inlineStr">
        <is>
          <t>MTM P&amp;L ног, руб</t>
        </is>
      </c>
      <c r="I9" s="65" t="inlineStr">
        <is>
          <t>Прогноз Roll</t>
        </is>
      </c>
    </row>
    <row r="10" ht="20" customHeight="1">
      <c r="A10" s="7" t="inlineStr">
        <is>
          <t>Волатильность σ (HV21):</t>
        </is>
      </c>
      <c r="B10" s="59">
        <f>Dashbord!E18</f>
        <v/>
      </c>
      <c r="G10" s="61" t="inlineStr">
        <is>
          <t>BUY PUT</t>
        </is>
      </c>
      <c r="H10" s="69">
        <f>(J4-H4)*$B$13</f>
        <v/>
      </c>
      <c r="I10" s="61" t="inlineStr">
        <is>
          <t>Новый CALL strike</t>
        </is>
      </c>
      <c r="J10" s="70">
        <f>Dashbord!M21</f>
        <v/>
      </c>
    </row>
    <row r="11" ht="20" customHeight="1">
      <c r="A11" s="7" t="inlineStr">
        <is>
          <t>Дней до экспирации T:</t>
        </is>
      </c>
      <c r="B11" s="12" t="n">
        <v>21</v>
      </c>
      <c r="G11" s="61" t="inlineStr">
        <is>
          <t>SELL PUT</t>
        </is>
      </c>
      <c r="H11" s="69">
        <f>(H5-J5)*$B$13</f>
        <v/>
      </c>
      <c r="I11" s="61" t="inlineStr">
        <is>
          <t>Цена продажи</t>
        </is>
      </c>
      <c r="J11" s="71" t="inlineStr"/>
    </row>
    <row r="12" ht="20" customHeight="1">
      <c r="A12" s="7" t="inlineStr">
        <is>
          <t>Акции LONG, шт:</t>
        </is>
      </c>
      <c r="B12" s="12" t="n">
        <v>1000</v>
      </c>
      <c r="G12" s="61" t="inlineStr">
        <is>
          <t>BUY CALL</t>
        </is>
      </c>
      <c r="H12" s="69">
        <f>(J6-H6)*$B$13</f>
        <v/>
      </c>
      <c r="I12" s="61" t="inlineStr">
        <is>
          <t>Цена выкупа старого</t>
        </is>
      </c>
      <c r="J12" s="70">
        <f>J7</f>
        <v/>
      </c>
    </row>
    <row r="13" ht="20" customHeight="1">
      <c r="A13" s="7" t="inlineStr">
        <is>
          <t>Лот опциона:</t>
        </is>
      </c>
      <c r="B13" s="12" t="n">
        <v>100</v>
      </c>
      <c r="G13" s="61" t="inlineStr">
        <is>
          <t>SELL CALL</t>
        </is>
      </c>
      <c r="H13" s="69">
        <f>(H7-J7)*$B$13</f>
        <v/>
      </c>
      <c r="I13" s="61" t="inlineStr">
        <is>
          <t>Добавка P&amp;L</t>
        </is>
      </c>
      <c r="J13" s="70">
        <f>IF(AND(J11&lt;&gt;"",J12&lt;&gt;""),(J11-J12)*$B$13,"")</f>
        <v/>
      </c>
    </row>
    <row r="14">
      <c r="G14" s="65" t="inlineStr">
        <is>
          <t>Опционы итого</t>
        </is>
      </c>
      <c r="H14" s="72">
        <f>SUM(H10:H13)</f>
        <v/>
      </c>
    </row>
    <row r="15">
      <c r="G15" s="61" t="inlineStr">
        <is>
          <t>Акции MTM</t>
        </is>
      </c>
      <c r="H15" s="73">
        <f>(B4-Dashbord!B7)*$B$12</f>
        <v/>
      </c>
    </row>
    <row r="16">
      <c r="G16" s="65" t="inlineStr">
        <is>
          <t>Итог MTM</t>
        </is>
      </c>
      <c r="H16" s="74">
        <f>H14+H15</f>
        <v/>
      </c>
    </row>
  </sheetData>
  <mergeCells count="3">
    <mergeCell ref="D3:E3"/>
    <mergeCell ref="A3:B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7" customWidth="1" min="4" max="4"/>
    <col width="1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4" customWidth="1" min="17" max="17"/>
  </cols>
  <sheetData>
    <row r="1" ht="28" customHeight="1">
      <c r="A1" s="18" t="inlineStr">
        <is>
          <t>ЖУРНАЛ ТОРГОВЫХ ЦИКЛОВ (история + статистика)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15" customHeight="1">
      <c r="A2" s="19" t="inlineStr">
        <is>
          <t>Заполнять после закрытия каждого цикла | Кум. P&amp;L и статистика — автоматически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7" t="n"/>
    </row>
    <row r="3" ht="36" customHeight="1">
      <c r="A3" s="20" t="inlineStr">
        <is>
          <t>№</t>
        </is>
      </c>
      <c r="B3" s="20" t="inlineStr">
        <is>
          <t>Дата
входа</t>
        </is>
      </c>
      <c r="C3" s="20" t="inlineStr">
        <is>
          <t>S0</t>
        </is>
      </c>
      <c r="D3" s="20" t="inlineStr">
        <is>
          <t>Центр</t>
        </is>
      </c>
      <c r="E3" s="20" t="inlineStr">
        <is>
          <t>Страйки
BP/SP/BC/SC</t>
        </is>
      </c>
      <c r="F3" s="20" t="inlineStr">
        <is>
          <t>HV21</t>
        </is>
      </c>
      <c r="G3" s="20" t="inlineStr">
        <is>
          <t>IV вх.</t>
        </is>
      </c>
      <c r="H3" s="20" t="inlineStr">
        <is>
          <t>Флэт
дней</t>
        </is>
      </c>
      <c r="I3" s="20" t="inlineStr">
        <is>
          <t>Фаза2?</t>
        </is>
      </c>
      <c r="J3" s="20" t="inlineStr">
        <is>
          <t>Roll?</t>
        </is>
      </c>
      <c r="K3" s="20" t="inlineStr">
        <is>
          <t>P&amp;L
Кондор</t>
        </is>
      </c>
      <c r="L3" s="20" t="inlineStr">
        <is>
          <t>P&amp;L
Фаза2</t>
        </is>
      </c>
      <c r="M3" s="20" t="inlineStr">
        <is>
          <t>P&amp;L
Roll</t>
        </is>
      </c>
      <c r="N3" s="20" t="inlineStr">
        <is>
          <t>P&amp;L
ИТОГО</t>
        </is>
      </c>
      <c r="O3" s="20" t="inlineStr">
        <is>
          <t>Кум.
P&amp;L</t>
        </is>
      </c>
      <c r="P3" s="20" t="inlineStr">
        <is>
          <t>Результат</t>
        </is>
      </c>
      <c r="Q3" s="20" t="inlineStr">
        <is>
          <t>Заметки</t>
        </is>
      </c>
    </row>
    <row r="4" ht="22" customHeight="1">
      <c r="A4" s="21" t="n">
        <v>1</v>
      </c>
      <c r="B4" s="22" t="inlineStr">
        <is>
          <t>03.04.25</t>
        </is>
      </c>
      <c r="C4" s="23" t="n">
        <v>317.6</v>
      </c>
      <c r="D4" s="37" t="n">
        <v>320</v>
      </c>
      <c r="E4" s="38" t="inlineStr">
        <is>
          <t>310/320/325/335</t>
        </is>
      </c>
      <c r="F4" s="24" t="n">
        <v>0.373</v>
      </c>
      <c r="G4" s="24" t="n">
        <v>0.429</v>
      </c>
      <c r="H4" s="37" t="n">
        <v>12</v>
      </c>
      <c r="I4" s="38" t="inlineStr">
        <is>
          <t>Да</t>
        </is>
      </c>
      <c r="J4" s="38" t="inlineStr">
        <is>
          <t>Да</t>
        </is>
      </c>
      <c r="K4" s="39" t="n">
        <v>-7354</v>
      </c>
      <c r="L4" s="39" t="n">
        <v>6247</v>
      </c>
      <c r="M4" s="39" t="n">
        <v>1173</v>
      </c>
      <c r="N4" s="40">
        <f>IF(K4&lt;&gt;"",K4+IF(L4&lt;&gt;"",L4,0)+IF(M4&lt;&gt;"",M4,0),"")</f>
        <v/>
      </c>
      <c r="O4" s="41">
        <f>IF(N4&lt;&gt;"",N4,"")</f>
        <v/>
      </c>
      <c r="P4" s="42">
        <f>IF(N4="","",IF(N4&gt;0,"PROFIT","LOSS"))</f>
        <v/>
      </c>
      <c r="Q4" s="28" t="n"/>
    </row>
    <row r="5" ht="22" customHeight="1">
      <c r="A5" s="21" t="n">
        <v>2</v>
      </c>
      <c r="B5" s="22" t="inlineStr">
        <is>
          <t>03.06.25</t>
        </is>
      </c>
      <c r="C5" s="23" t="n">
        <v>308.3</v>
      </c>
      <c r="D5" s="37" t="n">
        <v>310</v>
      </c>
      <c r="E5" s="38" t="inlineStr">
        <is>
          <t>300/310/315/325</t>
        </is>
      </c>
      <c r="F5" s="24" t="n">
        <v>0.239</v>
      </c>
      <c r="G5" s="24" t="n">
        <v>0.275</v>
      </c>
      <c r="H5" s="37" t="n">
        <v>12</v>
      </c>
      <c r="I5" s="38" t="inlineStr">
        <is>
          <t>Да</t>
        </is>
      </c>
      <c r="J5" s="38" t="inlineStr">
        <is>
          <t>Да</t>
        </is>
      </c>
      <c r="K5" s="39" t="n">
        <v>1661</v>
      </c>
      <c r="L5" s="39" t="n">
        <v>3543</v>
      </c>
      <c r="M5" s="39" t="n">
        <v>2382</v>
      </c>
      <c r="N5" s="40">
        <f>IF(K5&lt;&gt;"",K5+IF(L5&lt;&gt;"",L5,0)+IF(M5&lt;&gt;"",M5,0),"")</f>
        <v/>
      </c>
      <c r="O5" s="41">
        <f>IF(N5&lt;&gt;"",N5+IF(O4&lt;&gt;"",O4,0),"")</f>
        <v/>
      </c>
      <c r="P5" s="42">
        <f>IF(N5="","",IF(N5&gt;0,"PROFIT","LOSS"))</f>
        <v/>
      </c>
      <c r="Q5" s="28" t="n"/>
    </row>
    <row r="6" ht="22" customHeight="1">
      <c r="A6" s="21" t="n">
        <v>3</v>
      </c>
      <c r="B6" s="22" t="inlineStr">
        <is>
          <t>01.07.25</t>
        </is>
      </c>
      <c r="C6" s="23" t="n">
        <v>310.2</v>
      </c>
      <c r="D6" s="37" t="n">
        <v>310</v>
      </c>
      <c r="E6" s="38" t="inlineStr">
        <is>
          <t>300/310/315/325</t>
        </is>
      </c>
      <c r="F6" s="24" t="n">
        <v>0.235</v>
      </c>
      <c r="G6" s="24" t="n">
        <v>0.27</v>
      </c>
      <c r="H6" s="37" t="n">
        <v>20</v>
      </c>
      <c r="I6" s="38" t="inlineStr">
        <is>
          <t>Да</t>
        </is>
      </c>
      <c r="J6" s="38" t="inlineStr">
        <is>
          <t>Да</t>
        </is>
      </c>
      <c r="K6" s="39" t="n">
        <v>734</v>
      </c>
      <c r="L6" s="39" t="n">
        <v>3320</v>
      </c>
      <c r="M6" s="39" t="n">
        <v>5004</v>
      </c>
      <c r="N6" s="40">
        <f>IF(K6&lt;&gt;"",K6+IF(L6&lt;&gt;"",L6,0)+IF(M6&lt;&gt;"",M6,0),"")</f>
        <v/>
      </c>
      <c r="O6" s="41">
        <f>IF(N6&lt;&gt;"",N6+IF(O5&lt;&gt;"",O5,0),"")</f>
        <v/>
      </c>
      <c r="P6" s="42">
        <f>IF(N6="","",IF(N6&gt;0,"PROFIT","LOSS"))</f>
        <v/>
      </c>
      <c r="Q6" s="28" t="n"/>
    </row>
    <row r="7" ht="22" customHeight="1">
      <c r="A7" s="21" t="n">
        <v>4</v>
      </c>
      <c r="B7" s="22" t="inlineStr">
        <is>
          <t>22.07.25</t>
        </is>
      </c>
      <c r="C7" s="23" t="n">
        <v>310.1</v>
      </c>
      <c r="D7" s="37" t="n">
        <v>310</v>
      </c>
      <c r="E7" s="38" t="inlineStr">
        <is>
          <t>300/310/315/325</t>
        </is>
      </c>
      <c r="F7" s="24" t="n">
        <v>0.119</v>
      </c>
      <c r="G7" s="24" t="n">
        <v>0.137</v>
      </c>
      <c r="H7" s="37" t="n">
        <v>17</v>
      </c>
      <c r="I7" s="38" t="inlineStr">
        <is>
          <t>Да</t>
        </is>
      </c>
      <c r="J7" s="38" t="inlineStr">
        <is>
          <t>Да</t>
        </is>
      </c>
      <c r="K7" s="39" t="n">
        <v>-623</v>
      </c>
      <c r="L7" s="39" t="n">
        <v>6987</v>
      </c>
      <c r="M7" s="39" t="n">
        <v>5187</v>
      </c>
      <c r="N7" s="40">
        <f>IF(K7&lt;&gt;"",K7+IF(L7&lt;&gt;"",L7,0)+IF(M7&lt;&gt;"",M7,0),"")</f>
        <v/>
      </c>
      <c r="O7" s="41">
        <f>IF(N7&lt;&gt;"",N7+IF(O6&lt;&gt;"",O6,0),"")</f>
        <v/>
      </c>
      <c r="P7" s="42">
        <f>IF(N7="","",IF(N7&gt;0,"PROFIT","LOSS"))</f>
        <v/>
      </c>
      <c r="Q7" s="28" t="n"/>
    </row>
    <row r="8" ht="22" customHeight="1">
      <c r="A8" s="21" t="n">
        <v>5</v>
      </c>
      <c r="B8" s="22" t="inlineStr">
        <is>
          <t>12.08.25</t>
        </is>
      </c>
      <c r="C8" s="23" t="n">
        <v>307.4</v>
      </c>
      <c r="D8" s="37" t="n">
        <v>305</v>
      </c>
      <c r="E8" s="38" t="inlineStr">
        <is>
          <t>295/305/310/320</t>
        </is>
      </c>
      <c r="F8" s="24" t="n">
        <v>0.3</v>
      </c>
      <c r="G8" s="24" t="n">
        <v>0.345</v>
      </c>
      <c r="H8" s="37" t="n">
        <v>18</v>
      </c>
      <c r="I8" s="38" t="inlineStr">
        <is>
          <t>Да</t>
        </is>
      </c>
      <c r="J8" s="38" t="inlineStr">
        <is>
          <t>Да</t>
        </is>
      </c>
      <c r="K8" s="39" t="n">
        <v>335</v>
      </c>
      <c r="L8" s="39" t="n">
        <v>9330</v>
      </c>
      <c r="M8" s="39" t="n">
        <v>10658</v>
      </c>
      <c r="N8" s="40">
        <f>IF(K8&lt;&gt;"",K8+IF(L8&lt;&gt;"",L8,0)+IF(M8&lt;&gt;"",M8,0),"")</f>
        <v/>
      </c>
      <c r="O8" s="41">
        <f>IF(N8&lt;&gt;"",N8+IF(O7&lt;&gt;"",O7,0),"")</f>
        <v/>
      </c>
      <c r="P8" s="42">
        <f>IF(N8="","",IF(N8&gt;0,"PROFIT","LOSS"))</f>
        <v/>
      </c>
      <c r="Q8" s="28" t="n"/>
    </row>
    <row r="9" ht="22" customHeight="1">
      <c r="A9" s="21" t="n">
        <v>6</v>
      </c>
      <c r="B9" s="22" t="inlineStr">
        <is>
          <t>02.09.25</t>
        </is>
      </c>
      <c r="C9" s="23" t="n">
        <v>308.4</v>
      </c>
      <c r="D9" s="37" t="n">
        <v>310</v>
      </c>
      <c r="E9" s="38" t="inlineStr">
        <is>
          <t>300/310/315/325</t>
        </is>
      </c>
      <c r="F9" s="24" t="n">
        <v>0.135</v>
      </c>
      <c r="G9" s="24" t="n">
        <v>0.155</v>
      </c>
      <c r="H9" s="37" t="n">
        <v>14</v>
      </c>
      <c r="I9" s="38" t="inlineStr">
        <is>
          <t>Да</t>
        </is>
      </c>
      <c r="J9" s="38" t="inlineStr">
        <is>
          <t>Да</t>
        </is>
      </c>
      <c r="K9" s="39" t="n">
        <v>-7772</v>
      </c>
      <c r="L9" s="39" t="n">
        <v>955</v>
      </c>
      <c r="M9" s="39" t="n">
        <v>340</v>
      </c>
      <c r="N9" s="40">
        <f>IF(K9&lt;&gt;"",K9+IF(L9&lt;&gt;"",L9,0)+IF(M9&lt;&gt;"",M9,0),"")</f>
        <v/>
      </c>
      <c r="O9" s="41">
        <f>IF(N9&lt;&gt;"",N9+IF(O8&lt;&gt;"",O8,0),"")</f>
        <v/>
      </c>
      <c r="P9" s="42">
        <f>IF(N9="","",IF(N9&gt;0,"PROFIT","LOSS"))</f>
        <v/>
      </c>
      <c r="Q9" s="28" t="n"/>
    </row>
    <row r="10" ht="22" customHeight="1">
      <c r="A10" s="21" t="n">
        <v>7</v>
      </c>
      <c r="B10" s="22" t="inlineStr">
        <is>
          <t>07.10.25</t>
        </is>
      </c>
      <c r="C10" s="23" t="n">
        <v>286.4</v>
      </c>
      <c r="D10" s="37" t="n">
        <v>285</v>
      </c>
      <c r="E10" s="38" t="inlineStr">
        <is>
          <t>275/285/290/300</t>
        </is>
      </c>
      <c r="F10" s="24" t="n">
        <v>0.178</v>
      </c>
      <c r="G10" s="24" t="n">
        <v>0.205</v>
      </c>
      <c r="H10" s="37" t="n">
        <v>10</v>
      </c>
      <c r="I10" s="38" t="inlineStr">
        <is>
          <t>Да</t>
        </is>
      </c>
      <c r="J10" s="38" t="inlineStr">
        <is>
          <t>Да</t>
        </is>
      </c>
      <c r="K10" s="39" t="n">
        <v>644</v>
      </c>
      <c r="L10" s="39" t="n">
        <v>5556</v>
      </c>
      <c r="M10" s="39" t="n">
        <v>4470</v>
      </c>
      <c r="N10" s="40">
        <f>IF(K10&lt;&gt;"",K10+IF(L10&lt;&gt;"",L10,0)+IF(M10&lt;&gt;"",M10,0),"")</f>
        <v/>
      </c>
      <c r="O10" s="41">
        <f>IF(N10&lt;&gt;"",N10+IF(O9&lt;&gt;"",O9,0),"")</f>
        <v/>
      </c>
      <c r="P10" s="42">
        <f>IF(N10="","",IF(N10&gt;0,"PROFIT","LOSS"))</f>
        <v/>
      </c>
      <c r="Q10" s="28" t="n"/>
    </row>
    <row r="11" ht="22" customHeight="1">
      <c r="A11" s="21" t="n">
        <v>8</v>
      </c>
      <c r="B11" s="22" t="inlineStr">
        <is>
          <t>11.11.25</t>
        </is>
      </c>
      <c r="C11" s="23" t="n">
        <v>290.5</v>
      </c>
      <c r="D11" s="37" t="n">
        <v>290</v>
      </c>
      <c r="E11" s="38" t="inlineStr">
        <is>
          <t>280/290/295/305</t>
        </is>
      </c>
      <c r="F11" s="24" t="n">
        <v>0.412</v>
      </c>
      <c r="G11" s="24" t="n">
        <v>0.474</v>
      </c>
      <c r="H11" s="37" t="n">
        <v>15</v>
      </c>
      <c r="I11" s="38" t="inlineStr">
        <is>
          <t>Да</t>
        </is>
      </c>
      <c r="J11" s="38" t="inlineStr">
        <is>
          <t>Да</t>
        </is>
      </c>
      <c r="K11" s="39" t="n">
        <v>10844</v>
      </c>
      <c r="L11" s="39" t="n">
        <v>11632</v>
      </c>
      <c r="M11" s="39" t="n">
        <v>7738</v>
      </c>
      <c r="N11" s="40">
        <f>IF(K11&lt;&gt;"",K11+IF(L11&lt;&gt;"",L11,0)+IF(M11&lt;&gt;"",M11,0),"")</f>
        <v/>
      </c>
      <c r="O11" s="41">
        <f>IF(N11&lt;&gt;"",N11+IF(O10&lt;&gt;"",O10,0),"")</f>
        <v/>
      </c>
      <c r="P11" s="42">
        <f>IF(N11="","",IF(N11&gt;0,"PROFIT","LOSS"))</f>
        <v/>
      </c>
      <c r="Q11" s="28" t="n"/>
    </row>
    <row r="12" ht="22" customHeight="1">
      <c r="A12" s="21" t="n">
        <v>9</v>
      </c>
      <c r="B12" s="22" t="inlineStr">
        <is>
          <t>02.12.25</t>
        </is>
      </c>
      <c r="C12" s="23" t="n">
        <v>299.5</v>
      </c>
      <c r="D12" s="37" t="n">
        <v>300</v>
      </c>
      <c r="E12" s="38" t="inlineStr">
        <is>
          <t>290/300/305/315</t>
        </is>
      </c>
      <c r="F12" s="24" t="n">
        <v>0.196</v>
      </c>
      <c r="G12" s="24" t="n">
        <v>0.225</v>
      </c>
      <c r="H12" s="37" t="n">
        <v>19</v>
      </c>
      <c r="I12" s="38" t="inlineStr">
        <is>
          <t>Да</t>
        </is>
      </c>
      <c r="J12" s="38" t="inlineStr">
        <is>
          <t>Да</t>
        </is>
      </c>
      <c r="K12" s="39" t="n">
        <v>1402</v>
      </c>
      <c r="L12" s="39" t="n">
        <v>2289</v>
      </c>
      <c r="M12" s="39" t="n">
        <v>3182</v>
      </c>
      <c r="N12" s="40">
        <f>IF(K12&lt;&gt;"",K12+IF(L12&lt;&gt;"",L12,0)+IF(M12&lt;&gt;"",M12,0),"")</f>
        <v/>
      </c>
      <c r="O12" s="41">
        <f>IF(N12&lt;&gt;"",N12+IF(O11&lt;&gt;"",O11,0),"")</f>
        <v/>
      </c>
      <c r="P12" s="42">
        <f>IF(N12="","",IF(N12&gt;0,"PROFIT","LOSS"))</f>
        <v/>
      </c>
      <c r="Q12" s="28" t="n"/>
    </row>
    <row r="13" ht="22" customHeight="1">
      <c r="A13" s="21" t="n">
        <v>10</v>
      </c>
      <c r="B13" s="22" t="inlineStr">
        <is>
          <t>13.01.26</t>
        </is>
      </c>
      <c r="C13" s="23" t="n">
        <v>308.5</v>
      </c>
      <c r="D13" s="37" t="n">
        <v>310</v>
      </c>
      <c r="E13" s="38" t="inlineStr">
        <is>
          <t>300/310/315/325</t>
        </is>
      </c>
      <c r="F13" s="24" t="n">
        <v>0.144</v>
      </c>
      <c r="G13" s="24" t="n">
        <v>0.166</v>
      </c>
      <c r="H13" s="37" t="n">
        <v>20</v>
      </c>
      <c r="I13" s="38" t="inlineStr">
        <is>
          <t>Да</t>
        </is>
      </c>
      <c r="J13" s="38" t="inlineStr">
        <is>
          <t>Да</t>
        </is>
      </c>
      <c r="K13" s="39" t="n">
        <v>2747</v>
      </c>
      <c r="L13" s="39" t="n">
        <v>919</v>
      </c>
      <c r="M13" s="39" t="n">
        <v>1219</v>
      </c>
      <c r="N13" s="40">
        <f>IF(K13&lt;&gt;"",K13+IF(L13&lt;&gt;"",L13,0)+IF(M13&lt;&gt;"",M13,0),"")</f>
        <v/>
      </c>
      <c r="O13" s="41">
        <f>IF(N13&lt;&gt;"",N13+IF(O12&lt;&gt;"",O12,0),"")</f>
        <v/>
      </c>
      <c r="P13" s="42">
        <f>IF(N13="","",IF(N13&gt;0,"PROFIT","LOSS"))</f>
        <v/>
      </c>
      <c r="Q13" s="28" t="n"/>
    </row>
    <row r="14" ht="22" customHeight="1">
      <c r="A14" s="21" t="n">
        <v>11</v>
      </c>
      <c r="B14" s="22" t="inlineStr">
        <is>
          <t>17.02.26</t>
        </is>
      </c>
      <c r="C14" s="23" t="n">
        <v>314</v>
      </c>
      <c r="D14" s="37" t="n">
        <v>315</v>
      </c>
      <c r="E14" s="38" t="inlineStr">
        <is>
          <t>305/315/320/330</t>
        </is>
      </c>
      <c r="F14" s="24" t="n">
        <v>0.106</v>
      </c>
      <c r="G14" s="24" t="n">
        <v>0.122</v>
      </c>
      <c r="H14" s="37" t="n">
        <v>21</v>
      </c>
      <c r="I14" s="38" t="inlineStr">
        <is>
          <t>Да</t>
        </is>
      </c>
      <c r="J14" s="38" t="inlineStr">
        <is>
          <t>Да</t>
        </is>
      </c>
      <c r="K14" s="39" t="n">
        <v>970</v>
      </c>
      <c r="L14" s="39" t="n">
        <v>1214</v>
      </c>
      <c r="M14" s="39" t="n">
        <v>3357</v>
      </c>
      <c r="N14" s="40">
        <f>IF(K14&lt;&gt;"",K14+IF(L14&lt;&gt;"",L14,0)+IF(M14&lt;&gt;"",M14,0),"")</f>
        <v/>
      </c>
      <c r="O14" s="41">
        <f>IF(N14&lt;&gt;"",N14+IF(O13&lt;&gt;"",O13,0),"")</f>
        <v/>
      </c>
      <c r="P14" s="42">
        <f>IF(N14="","",IF(N14&gt;0,"PROFIT","LOSS"))</f>
        <v/>
      </c>
      <c r="Q14" s="28" t="n"/>
    </row>
    <row r="15" ht="22" customHeight="1">
      <c r="A15" s="21" t="n">
        <v>12</v>
      </c>
      <c r="B15" s="22" t="n"/>
      <c r="C15" s="23" t="n"/>
      <c r="D15" s="37" t="n"/>
      <c r="E15" s="38" t="n"/>
      <c r="F15" s="24" t="n"/>
      <c r="G15" s="24" t="n"/>
      <c r="H15" s="37" t="n"/>
      <c r="I15" s="38" t="n"/>
      <c r="J15" s="38" t="n"/>
      <c r="K15" s="39" t="n"/>
      <c r="L15" s="39" t="n"/>
      <c r="M15" s="39" t="n"/>
      <c r="N15" s="40">
        <f>IF(K15&lt;&gt;"",K15+IF(L15&lt;&gt;"",L15,0)+IF(M15&lt;&gt;"",M15,0),"")</f>
        <v/>
      </c>
      <c r="O15" s="41">
        <f>IF(N15&lt;&gt;"",N15+IF(O14&lt;&gt;"",O14,0),"")</f>
        <v/>
      </c>
      <c r="P15" s="42">
        <f>IF(N15="","",IF(N15&gt;0,"PROFIT","LOSS"))</f>
        <v/>
      </c>
      <c r="Q15" s="28" t="n"/>
    </row>
    <row r="16" ht="22" customHeight="1">
      <c r="A16" s="21" t="n">
        <v>13</v>
      </c>
      <c r="B16" s="22" t="n"/>
      <c r="C16" s="23" t="n"/>
      <c r="D16" s="37" t="n"/>
      <c r="E16" s="38" t="n"/>
      <c r="F16" s="24" t="n"/>
      <c r="G16" s="24" t="n"/>
      <c r="H16" s="37" t="n"/>
      <c r="I16" s="38" t="n"/>
      <c r="J16" s="38" t="n"/>
      <c r="K16" s="39" t="n"/>
      <c r="L16" s="39" t="n"/>
      <c r="M16" s="39" t="n"/>
      <c r="N16" s="40">
        <f>IF(K16&lt;&gt;"",K16+IF(L16&lt;&gt;"",L16,0)+IF(M16&lt;&gt;"",M16,0),"")</f>
        <v/>
      </c>
      <c r="O16" s="41">
        <f>IF(N16&lt;&gt;"",N16+IF(O15&lt;&gt;"",O15,0),"")</f>
        <v/>
      </c>
      <c r="P16" s="42">
        <f>IF(N16="","",IF(N16&gt;0,"PROFIT","LOSS"))</f>
        <v/>
      </c>
      <c r="Q16" s="28" t="n"/>
    </row>
    <row r="17" ht="22" customHeight="1">
      <c r="A17" s="21" t="n">
        <v>14</v>
      </c>
      <c r="B17" s="22" t="n"/>
      <c r="C17" s="23" t="n"/>
      <c r="D17" s="37" t="n"/>
      <c r="E17" s="38" t="n"/>
      <c r="F17" s="24" t="n"/>
      <c r="G17" s="24" t="n"/>
      <c r="H17" s="37" t="n"/>
      <c r="I17" s="38" t="n"/>
      <c r="J17" s="38" t="n"/>
      <c r="K17" s="39" t="n"/>
      <c r="L17" s="39" t="n"/>
      <c r="M17" s="39" t="n"/>
      <c r="N17" s="40">
        <f>IF(K17&lt;&gt;"",K17+IF(L17&lt;&gt;"",L17,0)+IF(M17&lt;&gt;"",M17,0),"")</f>
        <v/>
      </c>
      <c r="O17" s="41">
        <f>IF(N17&lt;&gt;"",N17+IF(O16&lt;&gt;"",O16,0),"")</f>
        <v/>
      </c>
      <c r="P17" s="42">
        <f>IF(N17="","",IF(N17&gt;0,"PROFIT","LOSS"))</f>
        <v/>
      </c>
      <c r="Q17" s="28" t="n"/>
    </row>
    <row r="18" ht="22" customHeight="1">
      <c r="A18" s="21" t="n">
        <v>15</v>
      </c>
      <c r="B18" s="22" t="n"/>
      <c r="C18" s="23" t="n"/>
      <c r="D18" s="37" t="n"/>
      <c r="E18" s="38" t="n"/>
      <c r="F18" s="24" t="n"/>
      <c r="G18" s="24" t="n"/>
      <c r="H18" s="37" t="n"/>
      <c r="I18" s="38" t="n"/>
      <c r="J18" s="38" t="n"/>
      <c r="K18" s="39" t="n"/>
      <c r="L18" s="39" t="n"/>
      <c r="M18" s="39" t="n"/>
      <c r="N18" s="40">
        <f>IF(K18&lt;&gt;"",K18+IF(L18&lt;&gt;"",L18,0)+IF(M18&lt;&gt;"",M18,0),"")</f>
        <v/>
      </c>
      <c r="O18" s="41">
        <f>IF(N18&lt;&gt;"",N18+IF(O17&lt;&gt;"",O17,0),"")</f>
        <v/>
      </c>
      <c r="P18" s="42">
        <f>IF(N18="","",IF(N18&gt;0,"PROFIT","LOSS"))</f>
        <v/>
      </c>
      <c r="Q18" s="28" t="n"/>
    </row>
    <row r="19" ht="22" customHeight="1">
      <c r="A19" s="21" t="n">
        <v>16</v>
      </c>
      <c r="B19" s="22" t="n"/>
      <c r="C19" s="23" t="n"/>
      <c r="D19" s="37" t="n"/>
      <c r="E19" s="38" t="n"/>
      <c r="F19" s="24" t="n"/>
      <c r="G19" s="24" t="n"/>
      <c r="H19" s="37" t="n"/>
      <c r="I19" s="38" t="n"/>
      <c r="J19" s="38" t="n"/>
      <c r="K19" s="39" t="n"/>
      <c r="L19" s="39" t="n"/>
      <c r="M19" s="39" t="n"/>
      <c r="N19" s="40">
        <f>IF(K19&lt;&gt;"",K19+IF(L19&lt;&gt;"",L19,0)+IF(M19&lt;&gt;"",M19,0),"")</f>
        <v/>
      </c>
      <c r="O19" s="41">
        <f>IF(N19&lt;&gt;"",N19+IF(O18&lt;&gt;"",O18,0),"")</f>
        <v/>
      </c>
      <c r="P19" s="42">
        <f>IF(N19="","",IF(N19&gt;0,"PROFIT","LOSS"))</f>
        <v/>
      </c>
      <c r="Q19" s="28" t="n"/>
    </row>
    <row r="20" ht="22" customHeight="1">
      <c r="A20" s="21" t="n">
        <v>17</v>
      </c>
      <c r="B20" s="22" t="n"/>
      <c r="C20" s="23" t="n"/>
      <c r="D20" s="37" t="n"/>
      <c r="E20" s="38" t="n"/>
      <c r="F20" s="24" t="n"/>
      <c r="G20" s="24" t="n"/>
      <c r="H20" s="37" t="n"/>
      <c r="I20" s="38" t="n"/>
      <c r="J20" s="38" t="n"/>
      <c r="K20" s="39" t="n"/>
      <c r="L20" s="39" t="n"/>
      <c r="M20" s="39" t="n"/>
      <c r="N20" s="40">
        <f>IF(K20&lt;&gt;"",K20+IF(L20&lt;&gt;"",L20,0)+IF(M20&lt;&gt;"",M20,0),"")</f>
        <v/>
      </c>
      <c r="O20" s="41">
        <f>IF(N20&lt;&gt;"",N20+IF(O19&lt;&gt;"",O19,0),"")</f>
        <v/>
      </c>
      <c r="P20" s="42">
        <f>IF(N20="","",IF(N20&gt;0,"PROFIT","LOSS"))</f>
        <v/>
      </c>
      <c r="Q20" s="28" t="n"/>
    </row>
    <row r="21" ht="22" customHeight="1">
      <c r="A21" s="21" t="n">
        <v>18</v>
      </c>
      <c r="B21" s="22" t="n"/>
      <c r="C21" s="23" t="n"/>
      <c r="D21" s="37" t="n"/>
      <c r="E21" s="38" t="n"/>
      <c r="F21" s="24" t="n"/>
      <c r="G21" s="24" t="n"/>
      <c r="H21" s="37" t="n"/>
      <c r="I21" s="38" t="n"/>
      <c r="J21" s="38" t="n"/>
      <c r="K21" s="39" t="n"/>
      <c r="L21" s="39" t="n"/>
      <c r="M21" s="39" t="n"/>
      <c r="N21" s="40">
        <f>IF(K21&lt;&gt;"",K21+IF(L21&lt;&gt;"",L21,0)+IF(M21&lt;&gt;"",M21,0),"")</f>
        <v/>
      </c>
      <c r="O21" s="41">
        <f>IF(N21&lt;&gt;"",N21+IF(O20&lt;&gt;"",O20,0),"")</f>
        <v/>
      </c>
      <c r="P21" s="42">
        <f>IF(N21="","",IF(N21&gt;0,"PROFIT","LOSS"))</f>
        <v/>
      </c>
      <c r="Q21" s="28" t="n"/>
    </row>
    <row r="22" ht="22" customHeight="1">
      <c r="A22" s="21" t="n">
        <v>19</v>
      </c>
      <c r="B22" s="22" t="n"/>
      <c r="C22" s="23" t="n"/>
      <c r="D22" s="37" t="n"/>
      <c r="E22" s="38" t="n"/>
      <c r="F22" s="24" t="n"/>
      <c r="G22" s="24" t="n"/>
      <c r="H22" s="37" t="n"/>
      <c r="I22" s="38" t="n"/>
      <c r="J22" s="38" t="n"/>
      <c r="K22" s="39" t="n"/>
      <c r="L22" s="39" t="n"/>
      <c r="M22" s="39" t="n"/>
      <c r="N22" s="40">
        <f>IF(K22&lt;&gt;"",K22+IF(L22&lt;&gt;"",L22,0)+IF(M22&lt;&gt;"",M22,0),"")</f>
        <v/>
      </c>
      <c r="O22" s="41">
        <f>IF(N22&lt;&gt;"",N22+IF(O21&lt;&gt;"",O21,0),"")</f>
        <v/>
      </c>
      <c r="P22" s="42">
        <f>IF(N22="","",IF(N22&gt;0,"PROFIT","LOSS"))</f>
        <v/>
      </c>
      <c r="Q22" s="28" t="n"/>
    </row>
    <row r="23" ht="22" customHeight="1">
      <c r="A23" s="21" t="n">
        <v>20</v>
      </c>
      <c r="B23" s="22" t="n"/>
      <c r="C23" s="23" t="n"/>
      <c r="D23" s="37" t="n"/>
      <c r="E23" s="38" t="n"/>
      <c r="F23" s="24" t="n"/>
      <c r="G23" s="24" t="n"/>
      <c r="H23" s="37" t="n"/>
      <c r="I23" s="38" t="n"/>
      <c r="J23" s="38" t="n"/>
      <c r="K23" s="39" t="n"/>
      <c r="L23" s="39" t="n"/>
      <c r="M23" s="39" t="n"/>
      <c r="N23" s="40">
        <f>IF(K23&lt;&gt;"",K23+IF(L23&lt;&gt;"",L23,0)+IF(M23&lt;&gt;"",M23,0),"")</f>
        <v/>
      </c>
      <c r="O23" s="41">
        <f>IF(N23&lt;&gt;"",N23+IF(O22&lt;&gt;"",O22,0),"")</f>
        <v/>
      </c>
      <c r="P23" s="42">
        <f>IF(N23="","",IF(N23&gt;0,"PROFIT","LOSS"))</f>
        <v/>
      </c>
      <c r="Q23" s="28" t="n"/>
    </row>
    <row r="24" ht="22" customHeight="1">
      <c r="A24" s="21" t="n">
        <v>21</v>
      </c>
      <c r="B24" s="22" t="n"/>
      <c r="C24" s="23" t="n"/>
      <c r="D24" s="37" t="n"/>
      <c r="E24" s="38" t="n"/>
      <c r="F24" s="24" t="n"/>
      <c r="G24" s="24" t="n"/>
      <c r="H24" s="37" t="n"/>
      <c r="I24" s="38" t="n"/>
      <c r="J24" s="38" t="n"/>
      <c r="K24" s="39" t="n"/>
      <c r="L24" s="39" t="n"/>
      <c r="M24" s="39" t="n"/>
      <c r="N24" s="40">
        <f>IF(K24&lt;&gt;"",K24+IF(L24&lt;&gt;"",L24,0)+IF(M24&lt;&gt;"",M24,0),"")</f>
        <v/>
      </c>
      <c r="O24" s="41">
        <f>IF(N24&lt;&gt;"",N24+IF(O23&lt;&gt;"",O23,0),"")</f>
        <v/>
      </c>
      <c r="P24" s="42">
        <f>IF(N24="","",IF(N24&gt;0,"PROFIT","LOSS"))</f>
        <v/>
      </c>
      <c r="Q24" s="28" t="n"/>
    </row>
    <row r="26" ht="22" customHeight="1">
      <c r="A26" s="63" t="inlineStr">
        <is>
          <t>СТАТИСТИКА</t>
        </is>
      </c>
      <c r="B26" s="56" t="n"/>
      <c r="C26" s="56" t="n"/>
      <c r="D26" s="57" t="n"/>
    </row>
    <row r="27" ht="20" customHeight="1">
      <c r="A27" s="7" t="inlineStr">
        <is>
          <t>Всего циклов:</t>
        </is>
      </c>
      <c r="B27" s="17">
        <f>COUNTA(N4:N24)</f>
        <v/>
      </c>
    </row>
    <row r="28" ht="20" customHeight="1">
      <c r="A28" s="7" t="inlineStr">
        <is>
          <t>Win rate:</t>
        </is>
      </c>
      <c r="B28" s="43">
        <f>IF(B27=0,"",COUNTIF(N4:N24,"&gt;0")/B27)</f>
        <v/>
      </c>
    </row>
    <row r="29" ht="20" customHeight="1">
      <c r="A29" s="7" t="inlineStr">
        <is>
          <t>Суммарный P&amp;L:</t>
        </is>
      </c>
      <c r="B29" s="44">
        <f>IF(COUNTA(N4:N24)=0,"",SUM(N4:N24))</f>
        <v/>
      </c>
    </row>
    <row r="30" ht="20" customHeight="1">
      <c r="A30" s="7" t="inlineStr">
        <is>
          <t>Средний P&amp;L/цикл:</t>
        </is>
      </c>
      <c r="B30" s="44">
        <f>IF(B27=0,"",AVERAGE(N4:N24))</f>
        <v/>
      </c>
    </row>
    <row r="31" ht="20" customHeight="1">
      <c r="A31" s="7" t="inlineStr">
        <is>
          <t>Max Drawdown:</t>
        </is>
      </c>
      <c r="B31" s="44">
        <f>IF(COUNTA(O4:O24)=0,"",MIN(O4:O24))</f>
        <v/>
      </c>
    </row>
    <row r="32" ht="20" customHeight="1">
      <c r="A32" s="7" t="inlineStr">
        <is>
          <t>Лучший цикл:</t>
        </is>
      </c>
      <c r="B32" s="44">
        <f>IF(COUNTA(N4:N24)=0,"",MAX(N4:N24))</f>
        <v/>
      </c>
    </row>
    <row r="33" ht="20" customHeight="1">
      <c r="A33" s="7" t="inlineStr">
        <is>
          <t>Худший цикл:</t>
        </is>
      </c>
      <c r="B33" s="44">
        <f>IF(COUNTA(N4:N24)=0,"",MIN(N4:N24))</f>
        <v/>
      </c>
    </row>
    <row r="34" ht="20" customHeight="1">
      <c r="A34" s="7" t="inlineStr">
        <is>
          <t>Profit Factor:</t>
        </is>
      </c>
      <c r="B34" s="15">
        <f>IF(SUMIF(N4:N24,"&lt;0")=0,"INF",SUMIF(N4:N24,"&gt;0")/ABS(SUMIF(N4:N24,"&lt;0")))</f>
        <v/>
      </c>
    </row>
  </sheetData>
  <mergeCells count="3">
    <mergeCell ref="A2:Q2"/>
    <mergeCell ref="A1:Q1"/>
    <mergeCell ref="A26:D26"/>
  </mergeCells>
  <conditionalFormatting sqref="N4:N2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4:O24">
    <cfRule type="colorScale" priority="3">
      <colorScale>
        <cfvo type="min"/>
        <cfvo type="num" val="0"/>
        <cfvo type="max"/>
        <color rgb="00EF553B"/>
        <color rgb="002D2D44"/>
        <color rgb="0000CC9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2" customHeight="1">
      <c r="A1" s="45" t="inlineStr">
        <is>
          <t>КАРТА ПРИНЯТИЯ РЕШЕНИЙ — ГИБРИДНЫЙ КОНДОР v2</t>
        </is>
      </c>
      <c r="B1" s="56" t="n"/>
      <c r="C1" s="56" t="n"/>
      <c r="D1" s="56" t="n"/>
      <c r="E1" s="56" t="n"/>
      <c r="F1" s="56" t="n"/>
      <c r="G1" s="56" t="n"/>
      <c r="H1" s="57" t="n"/>
    </row>
    <row r="2" ht="16" customHeight="1">
      <c r="A2" s="19" t="inlineStr">
        <is>
          <t>Зелёный = ДА | Красный = НЕТ | Жёлтый = с условием</t>
        </is>
      </c>
      <c r="B2" s="56" t="n"/>
      <c r="C2" s="56" t="n"/>
      <c r="D2" s="56" t="n"/>
      <c r="E2" s="56" t="n"/>
      <c r="F2" s="56" t="n"/>
      <c r="G2" s="56" t="n"/>
      <c r="H2" s="57" t="n"/>
    </row>
    <row r="4" ht="40" customHeight="1">
      <c r="A4" s="20" t="inlineStr">
        <is>
          <t>ДЕЙСТВИЕ</t>
        </is>
      </c>
      <c r="B4" s="20" t="inlineStr">
        <is>
          <t>ФЛЭТ (R&lt;6,Mom&lt;3)</t>
        </is>
      </c>
      <c r="C4" s="20" t="inlineStr">
        <is>
          <t>БОКОВИК (R 6-10)</t>
        </is>
      </c>
      <c r="D4" s="20" t="inlineStr">
        <is>
          <t>ТРЕНД ВВЕРХ (Mom&gt;6)</t>
        </is>
      </c>
      <c r="E4" s="20" t="inlineStr">
        <is>
          <t>ТРЕНД ВНИЗ (Mom&lt;-6)</t>
        </is>
      </c>
      <c r="F4" s="20" t="inlineStr">
        <is>
          <t>ПОСЛЕ ШОКА</t>
        </is>
      </c>
      <c r="G4" s="20" t="inlineStr">
        <is>
          <t>ДО ЭКСПИР.&lt;2д</t>
        </is>
      </c>
      <c r="H4" s="20" t="inlineStr">
        <is>
          <t>ПРИНЦИП</t>
        </is>
      </c>
    </row>
    <row r="5" ht="24" customHeight="1">
      <c r="A5" s="46" t="inlineStr">
        <is>
          <t>ВХОД В КОНДОР</t>
        </is>
      </c>
      <c r="B5" s="47" t="inlineStr">
        <is>
          <t>YES</t>
        </is>
      </c>
      <c r="C5" s="48" t="inlineStr">
        <is>
          <t>50%</t>
        </is>
      </c>
      <c r="D5" s="49" t="inlineStr">
        <is>
          <t>NO</t>
        </is>
      </c>
      <c r="E5" s="49" t="inlineStr">
        <is>
          <t>NO</t>
        </is>
      </c>
      <c r="F5" s="49" t="inlineStr">
        <is>
          <t>NO</t>
        </is>
      </c>
      <c r="G5" s="49" t="inlineStr">
        <is>
          <t>NO</t>
        </is>
      </c>
      <c r="H5" s="50" t="inlineStr">
        <is>
          <t>R&lt;6, Mom&lt;3</t>
        </is>
      </c>
    </row>
    <row r="6" ht="24" customHeight="1">
      <c r="A6" s="46" t="inlineStr">
        <is>
          <t>ДЕРЖАТЬ ПОЗИЦИЮ</t>
        </is>
      </c>
      <c r="B6" s="47" t="inlineStr">
        <is>
          <t>YES</t>
        </is>
      </c>
      <c r="C6" s="47" t="inlineStr">
        <is>
          <t>YES</t>
        </is>
      </c>
      <c r="D6" s="48" t="inlineStr">
        <is>
          <t>WAIT</t>
        </is>
      </c>
      <c r="E6" s="48" t="inlineStr">
        <is>
          <t>WAIT</t>
        </is>
      </c>
      <c r="F6" s="47" t="inlineStr">
        <is>
          <t>YES</t>
        </is>
      </c>
      <c r="G6" s="48" t="inlineStr">
        <is>
          <t>WAIT</t>
        </is>
      </c>
      <c r="H6" s="50" t="inlineStr">
        <is>
          <t>Следи страйки</t>
        </is>
      </c>
    </row>
    <row r="7" ht="24" customHeight="1">
      <c r="A7" s="46" t="inlineStr">
        <is>
          <t>ПРОДАТЬ BUY CALL</t>
        </is>
      </c>
      <c r="B7" s="47" t="inlineStr">
        <is>
          <t>YES 100%</t>
        </is>
      </c>
      <c r="C7" s="49" t="inlineStr">
        <is>
          <t>NO</t>
        </is>
      </c>
      <c r="D7" s="49" t="inlineStr">
        <is>
          <t>NO</t>
        </is>
      </c>
      <c r="E7" s="48" t="inlineStr">
        <is>
          <t>50%</t>
        </is>
      </c>
      <c r="F7" s="49" t="inlineStr">
        <is>
          <t>NO</t>
        </is>
      </c>
      <c r="G7" s="49" t="inlineStr">
        <is>
          <t>NO</t>
        </is>
      </c>
      <c r="H7" s="50" t="inlineStr">
        <is>
          <t>Флэт д10+</t>
        </is>
      </c>
    </row>
    <row r="8" ht="24" customHeight="1">
      <c r="A8" s="46" t="inlineStr">
        <is>
          <t>ROLL: откупить SELL CALL</t>
        </is>
      </c>
      <c r="B8" s="47" t="inlineStr">
        <is>
          <t>YES</t>
        </is>
      </c>
      <c r="C8" s="49" t="inlineStr">
        <is>
          <t>NO</t>
        </is>
      </c>
      <c r="D8" s="49" t="inlineStr">
        <is>
          <t>NO</t>
        </is>
      </c>
      <c r="E8" s="48" t="inlineStr">
        <is>
          <t>CAREFUL</t>
        </is>
      </c>
      <c r="F8" s="49" t="inlineStr">
        <is>
          <t>NO</t>
        </is>
      </c>
      <c r="G8" s="49" t="inlineStr">
        <is>
          <t>NO</t>
        </is>
      </c>
      <c r="H8" s="50" t="inlineStr">
        <is>
          <t>Покрыт акциями</t>
        </is>
      </c>
    </row>
    <row r="9" ht="24" customHeight="1">
      <c r="A9" s="46" t="inlineStr">
        <is>
          <t>ROLL: продать ATM CALL</t>
        </is>
      </c>
      <c r="B9" s="47" t="inlineStr">
        <is>
          <t>YES</t>
        </is>
      </c>
      <c r="C9" s="49" t="inlineStr">
        <is>
          <t>NO</t>
        </is>
      </c>
      <c r="D9" s="49" t="inlineStr">
        <is>
          <t>NO</t>
        </is>
      </c>
      <c r="E9" s="49" t="inlineStr">
        <is>
          <t>NO</t>
        </is>
      </c>
      <c r="F9" s="49" t="inlineStr">
        <is>
          <t>NO</t>
        </is>
      </c>
      <c r="G9" s="49" t="inlineStr">
        <is>
          <t>NO</t>
        </is>
      </c>
      <c r="H9" s="50" t="inlineStr">
        <is>
          <t>Акции = покрытие</t>
        </is>
      </c>
    </row>
    <row r="10" ht="24" customHeight="1">
      <c r="A10" s="46" t="inlineStr">
        <is>
          <t>ПРОДАТЬ 50% BUY PUT</t>
        </is>
      </c>
      <c r="B10" s="47" t="inlineStr">
        <is>
          <t>YES</t>
        </is>
      </c>
      <c r="C10" s="49" t="inlineStr">
        <is>
          <t>NO</t>
        </is>
      </c>
      <c r="D10" s="47" t="inlineStr">
        <is>
          <t>YES</t>
        </is>
      </c>
      <c r="E10" s="49" t="inlineStr">
        <is>
          <t>NO</t>
        </is>
      </c>
      <c r="F10" s="49" t="inlineStr">
        <is>
          <t>NO</t>
        </is>
      </c>
      <c r="G10" s="49" t="inlineStr">
        <is>
          <t>NO</t>
        </is>
      </c>
      <c r="H10" s="50" t="inlineStr">
        <is>
          <t>Не при тренде вниз</t>
        </is>
      </c>
    </row>
    <row r="11" ht="24" customHeight="1">
      <c r="A11" s="46" t="inlineStr">
        <is>
          <t>ЗАКРЫТЬ SELL PUT</t>
        </is>
      </c>
      <c r="B11" s="49" t="inlineStr">
        <is>
          <t>NO</t>
        </is>
      </c>
      <c r="C11" s="49" t="inlineStr">
        <is>
          <t>NO</t>
        </is>
      </c>
      <c r="D11" s="49" t="inlineStr">
        <is>
          <t>NO</t>
        </is>
      </c>
      <c r="E11" s="48" t="inlineStr">
        <is>
          <t>50%</t>
        </is>
      </c>
      <c r="F11" s="47" t="inlineStr">
        <is>
          <t>YES</t>
        </is>
      </c>
      <c r="G11" s="47" t="inlineStr">
        <is>
          <t>YES</t>
        </is>
      </c>
      <c r="H11" s="50" t="inlineStr">
        <is>
          <t>При угрозе страйка</t>
        </is>
      </c>
    </row>
    <row r="12" ht="24" customHeight="1">
      <c r="A12" s="46" t="inlineStr">
        <is>
          <t>ПРОДАТЬ АКЦИИ</t>
        </is>
      </c>
      <c r="B12" s="49" t="inlineStr">
        <is>
          <t>NO</t>
        </is>
      </c>
      <c r="C12" s="49" t="inlineStr">
        <is>
          <t>NO</t>
        </is>
      </c>
      <c r="D12" s="49" t="inlineStr">
        <is>
          <t>NO</t>
        </is>
      </c>
      <c r="E12" s="49" t="inlineStr">
        <is>
          <t>NO</t>
        </is>
      </c>
      <c r="F12" s="49" t="inlineStr">
        <is>
          <t>NO</t>
        </is>
      </c>
      <c r="G12" s="49" t="inlineStr">
        <is>
          <t>NO</t>
        </is>
      </c>
      <c r="H12" s="50" t="inlineStr">
        <is>
          <t>Только нарушение страйка</t>
        </is>
      </c>
    </row>
    <row r="13" ht="24" customHeight="1">
      <c r="A13" s="46" t="inlineStr">
        <is>
          <t>ЗАКРЫТЬ ВСЁ</t>
        </is>
      </c>
      <c r="B13" s="49" t="inlineStr">
        <is>
          <t>NO</t>
        </is>
      </c>
      <c r="C13" s="49" t="inlineStr">
        <is>
          <t>NO</t>
        </is>
      </c>
      <c r="D13" s="49" t="inlineStr">
        <is>
          <t>NO</t>
        </is>
      </c>
      <c r="E13" s="49" t="inlineStr">
        <is>
          <t>NO</t>
        </is>
      </c>
      <c r="F13" s="48" t="inlineStr">
        <is>
          <t>DECIDE</t>
        </is>
      </c>
      <c r="G13" s="47" t="inlineStr">
        <is>
          <t>YES</t>
        </is>
      </c>
      <c r="H13" s="50" t="inlineStr">
        <is>
          <t>P&amp;L&gt;70% или -2дня</t>
        </is>
      </c>
    </row>
    <row r="15" ht="26" customHeight="1">
      <c r="A15" s="51" t="inlineStr">
        <is>
          <t>ЖЁСТКИЕ ЗАПРЕТЫ</t>
        </is>
      </c>
      <c r="B15" s="56" t="n"/>
      <c r="C15" s="56" t="n"/>
      <c r="D15" s="56" t="n"/>
      <c r="E15" s="56" t="n"/>
      <c r="F15" s="56" t="n"/>
      <c r="G15" s="56" t="n"/>
      <c r="H15" s="57" t="n"/>
    </row>
    <row r="16" ht="20" customHeight="1">
      <c r="A16" s="52" t="inlineStr">
        <is>
          <t xml:space="preserve">  ❌  R &gt; 12 руб → не торговать в этот день</t>
        </is>
      </c>
      <c r="B16" s="56" t="n"/>
      <c r="C16" s="56" t="n"/>
      <c r="D16" s="56" t="n"/>
      <c r="E16" s="56" t="n"/>
      <c r="F16" s="56" t="n"/>
      <c r="G16" s="56" t="n"/>
      <c r="H16" s="57" t="n"/>
    </row>
    <row r="17" ht="20" customHeight="1">
      <c r="A17" s="52" t="inlineStr">
        <is>
          <t xml:space="preserve">  ❌  После падения &gt; 10 руб → запрет SELL PUT следующие 2 дня</t>
        </is>
      </c>
      <c r="B17" s="56" t="n"/>
      <c r="C17" s="56" t="n"/>
      <c r="D17" s="56" t="n"/>
      <c r="E17" s="56" t="n"/>
      <c r="F17" s="56" t="n"/>
      <c r="G17" s="56" t="n"/>
      <c r="H17" s="57" t="n"/>
    </row>
    <row r="18" ht="20" customHeight="1">
      <c r="A18" s="52" t="inlineStr">
        <is>
          <t xml:space="preserve">  ❌  После роста &gt; 10 руб → запрет Roll ATM Call следующие 2 дня</t>
        </is>
      </c>
      <c r="B18" s="56" t="n"/>
      <c r="C18" s="56" t="n"/>
      <c r="D18" s="56" t="n"/>
      <c r="E18" s="56" t="n"/>
      <c r="F18" s="56" t="n"/>
      <c r="G18" s="56" t="n"/>
      <c r="H18" s="57" t="n"/>
    </row>
    <row r="19" ht="20" customHeight="1">
      <c r="A19" s="52" t="inlineStr">
        <is>
          <t xml:space="preserve">  ❌  До/после новостей ЦБ или дивидендов → не активировать Фазу 2</t>
        </is>
      </c>
      <c r="B19" s="56" t="n"/>
      <c r="C19" s="56" t="n"/>
      <c r="D19" s="56" t="n"/>
      <c r="E19" s="56" t="n"/>
      <c r="F19" s="56" t="n"/>
      <c r="G19" s="56" t="n"/>
      <c r="H19" s="57" t="n"/>
    </row>
    <row r="20" ht="20" customHeight="1">
      <c r="A20" s="52" t="inlineStr">
        <is>
          <t xml:space="preserve">  ❌  Roll: нет если до экспирации &lt; 7 дней</t>
        </is>
      </c>
      <c r="B20" s="56" t="n"/>
      <c r="C20" s="56" t="n"/>
      <c r="D20" s="56" t="n"/>
      <c r="E20" s="56" t="n"/>
      <c r="F20" s="56" t="n"/>
      <c r="G20" s="56" t="n"/>
      <c r="H20" s="57" t="n"/>
    </row>
    <row r="21" ht="20" customHeight="1">
      <c r="A21" s="52" t="inlineStr">
        <is>
          <t xml:space="preserve">  ❌  Roll: нет если SELL CALL вырос &gt; 150% цены входа</t>
        </is>
      </c>
      <c r="B21" s="56" t="n"/>
      <c r="C21" s="56" t="n"/>
      <c r="D21" s="56" t="n"/>
      <c r="E21" s="56" t="n"/>
      <c r="F21" s="56" t="n"/>
      <c r="G21" s="56" t="n"/>
      <c r="H21" s="57" t="n"/>
    </row>
    <row r="22" ht="20" customHeight="1">
      <c r="A22" s="52" t="inlineStr">
        <is>
          <t xml:space="preserve">  ❌  Никогда не продавать PUT при Momentum &lt; -3 руб</t>
        </is>
      </c>
      <c r="B22" s="56" t="n"/>
      <c r="C22" s="56" t="n"/>
      <c r="D22" s="56" t="n"/>
      <c r="E22" s="56" t="n"/>
      <c r="F22" s="56" t="n"/>
      <c r="G22" s="56" t="n"/>
      <c r="H22" s="57" t="n"/>
    </row>
    <row r="23" ht="20" customHeight="1">
      <c r="A23" s="52" t="inlineStr">
        <is>
          <t xml:space="preserve">  ❌  Никогда не продавать ATM Call без покрытия акциями</t>
        </is>
      </c>
      <c r="B23" s="56" t="n"/>
      <c r="C23" s="56" t="n"/>
      <c r="D23" s="56" t="n"/>
      <c r="E23" s="56" t="n"/>
      <c r="F23" s="56" t="n"/>
      <c r="G23" s="56" t="n"/>
      <c r="H23" s="57" t="n"/>
    </row>
    <row r="25" ht="22" customHeight="1">
      <c r="A25" s="4" t="inlineStr">
        <is>
          <t>ПРАВИЛА ВЫХОДА</t>
        </is>
      </c>
      <c r="B25" s="56" t="n"/>
      <c r="C25" s="56" t="n"/>
      <c r="D25" s="56" t="n"/>
      <c r="E25" s="56" t="n"/>
      <c r="F25" s="56" t="n"/>
      <c r="G25" s="56" t="n"/>
      <c r="H25" s="57" t="n"/>
    </row>
    <row r="26" ht="20" customHeight="1">
      <c r="A26" s="53" t="inlineStr">
        <is>
          <t xml:space="preserve">  ✅  Прибыль &gt;= 70% от макс. → немедленно закрыть все ноги</t>
        </is>
      </c>
      <c r="B26" s="56" t="n"/>
      <c r="C26" s="56" t="n"/>
      <c r="D26" s="56" t="n"/>
      <c r="E26" s="56" t="n"/>
      <c r="F26" s="56" t="n"/>
      <c r="G26" s="56" t="n"/>
      <c r="H26" s="57" t="n"/>
    </row>
    <row r="27" ht="20" customHeight="1">
      <c r="A27" s="53" t="inlineStr">
        <is>
          <t xml:space="preserve">  ✅  За 2 торговых дня до экспирации → принудительный выход</t>
        </is>
      </c>
      <c r="B27" s="56" t="n"/>
      <c r="C27" s="56" t="n"/>
      <c r="D27" s="56" t="n"/>
      <c r="E27" s="56" t="n"/>
      <c r="F27" s="56" t="n"/>
      <c r="G27" s="56" t="n"/>
      <c r="H27" s="57" t="n"/>
    </row>
    <row r="28" ht="20" customHeight="1">
      <c r="A28" s="53" t="inlineStr">
        <is>
          <t xml:space="preserve">  ✅  Цена пробила страйк на &gt; 2 руб → закрыть эту ногу</t>
        </is>
      </c>
      <c r="B28" s="56" t="n"/>
      <c r="C28" s="56" t="n"/>
      <c r="D28" s="56" t="n"/>
      <c r="E28" s="56" t="n"/>
      <c r="F28" s="56" t="n"/>
      <c r="G28" s="56" t="n"/>
      <c r="H28" s="57" t="n"/>
    </row>
    <row r="29" ht="20" customHeight="1">
      <c r="A29" s="53" t="inlineStr">
        <is>
          <t xml:space="preserve">  ✅  Просадка P&amp;L &gt; 50% макс. убытка → пересмотр позиции</t>
        </is>
      </c>
      <c r="B29" s="56" t="n"/>
      <c r="C29" s="56" t="n"/>
      <c r="D29" s="56" t="n"/>
      <c r="E29" s="56" t="n"/>
      <c r="F29" s="56" t="n"/>
      <c r="G29" s="56" t="n"/>
      <c r="H29" s="57" t="n"/>
    </row>
    <row r="31">
      <c r="A31" s="65" t="inlineStr">
        <is>
          <t>ТЕКУЩАЯ СТАДИЯ</t>
        </is>
      </c>
      <c r="B31" s="64">
        <f>Dashbord!I16</f>
        <v/>
      </c>
      <c r="C31" s="56" t="n"/>
      <c r="D31" s="56" t="n"/>
      <c r="E31" s="56" t="n"/>
      <c r="F31" s="56" t="n"/>
      <c r="G31" s="56" t="n"/>
      <c r="H31" s="57" t="n"/>
    </row>
  </sheetData>
  <mergeCells count="17">
    <mergeCell ref="A18:H18"/>
    <mergeCell ref="A26:H26"/>
    <mergeCell ref="A21:H21"/>
    <mergeCell ref="A15:H15"/>
    <mergeCell ref="A29:H29"/>
    <mergeCell ref="A25:H25"/>
    <mergeCell ref="A20:H20"/>
    <mergeCell ref="A16:H16"/>
    <mergeCell ref="A2:H2"/>
    <mergeCell ref="A28:H28"/>
    <mergeCell ref="B31:H31"/>
    <mergeCell ref="A19:H19"/>
    <mergeCell ref="A1:H1"/>
    <mergeCell ref="A23:H23"/>
    <mergeCell ref="A27:H27"/>
    <mergeCell ref="A22:H22"/>
    <mergeCell ref="A17:H17"/>
  </mergeCells>
  <conditionalFormatting sqref="B31:H31">
    <cfRule type="expression" priority="1" dxfId="2">
      <formula>ISNUMBER(SEARCH("ФАЗА 2",B31))</formula>
    </cfRule>
    <cfRule type="expression" priority="2" dxfId="0">
      <formula>ISNUMBER(SEARCH("ФАЗА 1",B31))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32" customHeight="1">
      <c r="A1" s="45" t="inlineStr">
        <is>
          <t>ИНСТРУКЦИЯ ПО ИСПОЛЬЗОВАНИЮ</t>
        </is>
      </c>
      <c r="B1" s="57" t="n"/>
    </row>
    <row r="3" ht="22" customHeight="1">
      <c r="A3" s="54" t="inlineStr">
        <is>
          <t>🟢 ЧТО ВВОДИТЬ</t>
        </is>
      </c>
      <c r="B3" s="57" t="n"/>
    </row>
    <row r="4" ht="32" customHeight="1">
      <c r="A4" s="55" t="inlineStr">
        <is>
          <t>Ячейки с тёмно-ЗЕЛЁНЫМ фоном — вводить вручную. Остальное считается автоматически.
Ячейки с синим/тёмным фоном — формулы, не трогать.</t>
        </is>
      </c>
      <c r="B4" s="57" t="n"/>
    </row>
    <row r="6" ht="22" customHeight="1">
      <c r="A6" s="54" t="inlineStr">
        <is>
          <t>📊 ДАШБОРД</t>
        </is>
      </c>
      <c r="B6" s="57" t="n"/>
    </row>
    <row r="7" ht="64" customHeight="1">
      <c r="A7" s="55" t="inlineStr">
        <is>
          <t>Блок ТЕКУЩАЯ ПОЗИЦИЯ: заполни один раз при открытии — дату, цену S0, страйки, кол-во акций, дату экспирации.
Блок РЫНОЧНЫЕ ДАННЫЕ: КАЖДЫЙ день вводи Close/High/Low/PrevClose/IV.
Блок СИГНАЛ: автоматически покажет режим рынка и рекомендованные действия.
Блок ФАЗА 2: подскажет, когда пора активировать Фазу 2.</t>
        </is>
      </c>
      <c r="B7" s="57" t="n"/>
    </row>
    <row r="9" ht="22" customHeight="1">
      <c r="A9" s="54" t="inlineStr">
        <is>
          <t>📅 ЖУРНАЛ ДНЯ</t>
        </is>
      </c>
      <c r="B9" s="57" t="n"/>
    </row>
    <row r="10" ht="64" customHeight="1">
      <c r="A10" s="55" t="inlineStr">
        <is>
          <t>Добавляй новую строку каждый торговый день.
Ввод: Дата, Close, High, Low, PrevClose, IV%.
Авто: R, Momentum, Δ от центра, Режим (FLAT/TREND/WAIT), сигналы CALL/PUT, Фаза2.
Колонка ФАЗА2: считает флэт-дни за последние 10 сессий. Когда &gt;=8 → 'ACTIVATE'.</t>
        </is>
      </c>
      <c r="B10" s="57" t="n"/>
    </row>
    <row r="12" ht="22" customHeight="1">
      <c r="A12" s="54" t="inlineStr">
        <is>
          <t>🧮 КАЛЬКУЛЯТОР (лист Calc_PnL)</t>
        </is>
      </c>
      <c r="B12" s="57" t="n"/>
    </row>
    <row r="13" ht="64" customHeight="1">
      <c r="A13" s="55" t="inlineStr">
        <is>
          <t>Введи S, страйки, σ (IV), дни до экспирации, размер лота.
Авто-расчёт: цена каждой ноги по BS-формуле через NORM.S.DIST.
Нетто дебет/кредит: итоговая стоимость входа.
Таблица P&amp;L: 50 точек, цветная шкала, встроенный график.</t>
        </is>
      </c>
      <c r="B13" s="57" t="n"/>
    </row>
    <row r="15" ht="22" customHeight="1">
      <c r="A15" s="54" t="inlineStr">
        <is>
          <t>📋 ЖУРНАЛ ЦИКЛОВ (лист Cycles)</t>
        </is>
      </c>
      <c r="B15" s="57" t="n"/>
    </row>
    <row r="16" ht="48" customHeight="1">
      <c r="A16" s="55" t="inlineStr">
        <is>
          <t>После закрытия каждого 21-дневного цикла заполни строку.
Ввод: дата входа, S0, центр, страйки, HV21, IV, кол-во флэт-дней, признаки Фазы2 и Roll, P&amp;L компонентов.
Авто: итоговый P&amp;L, кумулятивный P&amp;L, цветная метка PROFIT/LOSS, статистика, кумулятивный график.</t>
        </is>
      </c>
      <c r="B16" s="57" t="n"/>
    </row>
    <row r="18" ht="22" customHeight="1">
      <c r="A18" s="54" t="inlineStr">
        <is>
          <t>🗺️ КАРТА РЕШЕНИЙ (лист Decision Map)</t>
        </is>
      </c>
      <c r="B18" s="57" t="n"/>
    </row>
    <row r="19" ht="48" customHeight="1">
      <c r="A19" s="55" t="inlineStr">
        <is>
          <t>Таблица: режим рынка x действие → ДА/НЕТ/с условием.
Запреты — список ситуаций, когда НЕ торговать ни при каких условиях.
Правила выхода — 4 триггера принудительного выхода.</t>
        </is>
      </c>
      <c r="B19" s="57" t="n"/>
    </row>
    <row r="21" ht="22" customHeight="1">
      <c r="A21" s="54" t="inlineStr">
        <is>
          <t>🔄 ЕЖЕДНЕВНЫЙ АЛГОРИТМ</t>
        </is>
      </c>
      <c r="B21" s="57" t="n"/>
    </row>
    <row r="22" ht="96" customHeight="1">
      <c r="A22" s="55" t="inlineStr">
        <is>
          <t>1. Открыть лист Journal → заполнить новую строку (Close/High/Low/PrevClose/IV)
2. Проверить колонку РЕЖИМ → цвет подскажет состояние рынка
3. Проверить колонку ФАЗА2 → если 'ACTIVATE' → активировать Фазу 2
4. Сверить с листом Decision Map → проверить запреты
5. Открыть Дашборд → обновить рыночные данные → получить финальный сигнал
6. При необходимости → открыть Calc_PnL → просчитать новый сценарий</t>
        </is>
      </c>
      <c r="B22" s="57" t="n"/>
    </row>
    <row r="24" ht="22" customHeight="1">
      <c r="A24" s="54" t="inlineStr">
        <is>
          <t>⚠️ ROLL ATM CALL — ВАЖНО</t>
        </is>
      </c>
      <c r="B24" s="57" t="n"/>
    </row>
    <row r="25" ht="64" customHeight="1">
      <c r="A25" s="55" t="inlineStr">
        <is>
          <t>Шаг 1: Откупить SELL CALL (страйк Ц+15) — он потерял тету, стоит дёшево
Шаг 2: Продать CALL по текущей ATM-цене (~центральный страйк ± 2 руб)
Этот CALL покрыт акциями LONG → нет голого риска вверх
НЕ делать Roll если: до экспирации &lt; 7 дней ИЛИ SELL CALL вырос &gt; 150% от цены входа</t>
        </is>
      </c>
      <c r="B25" s="57" t="n"/>
    </row>
    <row r="27" ht="22" customHeight="1">
      <c r="A27" s="54" t="inlineStr">
        <is>
          <t>📐 BS-ФОРМУЛА (для справки)</t>
        </is>
      </c>
      <c r="B27" s="57" t="n"/>
    </row>
    <row r="28" ht="96" customHeight="1">
      <c r="A28" s="55" t="inlineStr">
        <is>
          <t>d1 = (LN(S/K) + 0.5*σ²*T) / (σ*√T)
d2 = d1 - σ*√T
Call = S*N(d1) - K*N(d2)
Put = Call - S + K
В листе Calc_PnL: σ вводить как IV (имплицитная), не HV21.
T = кол-во дней до экспирации (не доля года).</t>
        </is>
      </c>
      <c r="B28" s="57" t="n"/>
    </row>
  </sheetData>
  <mergeCells count="19">
    <mergeCell ref="A24:B24"/>
    <mergeCell ref="A15:B15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1:B21"/>
    <mergeCell ref="A22:B22"/>
    <mergeCell ref="A4:B4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VBA code for Refresh Quotes button</t>
        </is>
      </c>
    </row>
    <row r="2">
      <c r="A2" t="inlineStr">
        <is>
          <t>Sub RefreshQuotesAndCalc()
    Application.ScreenUpdating = False
    Application.EnableEvents = False
    ThisWorkbook.RefreshAll
    Application.CalculateFull
    MsgBox "Котировки и расчёты обновлены", vbInformation
    Application.EnableEvents = True
    Application.ScreenUpdating = True
End Sub</t>
        </is>
      </c>
    </row>
    <row r="4">
      <c r="A4" t="inlineStr">
        <is>
          <t>Как подключить кнопку:</t>
        </is>
      </c>
    </row>
    <row r="5">
      <c r="A5" t="inlineStr">
        <is>
          <t>1. Сохрани файл как .xlsm</t>
        </is>
      </c>
    </row>
    <row r="6">
      <c r="A6" t="inlineStr">
        <is>
          <t>2. Alt+F11 -&gt; Insert -&gt; Module -&gt; вставь код из A2</t>
        </is>
      </c>
    </row>
    <row r="7">
      <c r="A7" t="inlineStr">
        <is>
          <t>3. Developer -&gt; Insert -&gt; Button -&gt; назначь RefreshQuotesAndCalc</t>
        </is>
      </c>
    </row>
    <row r="8">
      <c r="A8" t="inlineStr">
        <is>
          <t>4. Data -&gt; Refresh All тоже будет работать</t>
        </is>
      </c>
    </row>
    <row r="10">
      <c r="A10" t="inlineStr">
        <is>
          <t>Если WEBSERVICE/FILTERXML не работают в локали, используй ручной ввод.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2026-04-12T04:49:35Z</dcterms:created>
  <dcterms:modified xmlns:dcterms="http://purl.org/dc/terms/" xmlns:xsi="http://www.w3.org/2001/XMLSchema-instance" xsi:type="dcterms:W3CDTF">2026-04-13T17:51:42Z</dcterms:modified>
</cp:coreProperties>
</file>